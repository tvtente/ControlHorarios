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1" autoFilterDateGrouping="1"/>
  </bookViews>
  <sheets>
    <sheet name="Registros" sheetId="1" state="visible" r:id="rId1"/>
    <sheet name="Departam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color theme="1"/>
      <sz val="11"/>
    </font>
    <font>
      <name val="Calibri"/>
      <b val="1"/>
      <color indexed="65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Registros" displayName="TablaRegistros" ref="A1:N61" headerRowCount="1" totalsRowCount="0">
  <autoFilter ref="A1:N61"/>
  <tableColumns count="14">
    <tableColumn id="1" name="id_registro"/>
    <tableColumn id="2" name="id_empleado"/>
    <tableColumn id="3" name="nombre_completo"/>
    <tableColumn id="4" name="departamento"/>
    <tableColumn id="5" name="accion"/>
    <tableColumn id="6" name="fecha"/>
    <tableColumn id="7" name="hora"/>
    <tableColumn id="8" name="observaciones"/>
    <tableColumn id="9" name="hora_inicio_prevista"/>
    <tableColumn id="10" name="hora_fin_prevista"/>
    <tableColumn id="11" name="diferencia_min"/>
    <tableColumn id="12" name="cumplimiento"/>
    <tableColumn id="13" name="hora_inicio_descanso_prevista"/>
    <tableColumn id="14" name="hora_fin_descanso_previs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Departamentos" displayName="TablaDepartamentos" ref="A1:F8" headerRowCount="1" totalsRowCount="0">
  <autoFilter ref="A1:F8"/>
  <tableColumns count="4">
    <tableColumn id="1" name="Departamento"/>
    <tableColumn id="2" name="Hora entrada"/>
    <tableColumn id="3" name="Hora salida"/>
    <tableColumn id="4" name="Tolerancia (mi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N61"/>
  <sheetViews>
    <sheetView zoomScale="100" workbookViewId="0">
      <selection activeCell="A1" activeCellId="0" sqref="A1"/>
    </sheetView>
  </sheetViews>
  <sheetFormatPr baseColWidth="8" defaultRowHeight="14.25"/>
  <cols>
    <col width="19" customWidth="1" style="1" min="9" max="10"/>
    <col width="16" customWidth="1" style="1" min="11" max="11"/>
    <col width="20" customWidth="1" style="1" min="12" max="12"/>
  </cols>
  <sheetData>
    <row r="1">
      <c r="A1" t="inlineStr">
        <is>
          <t>id_registro</t>
        </is>
      </c>
      <c r="B1" t="inlineStr">
        <is>
          <t>id_empleado</t>
        </is>
      </c>
      <c r="C1" t="inlineStr">
        <is>
          <t>nombre_completo</t>
        </is>
      </c>
      <c r="D1" t="inlineStr">
        <is>
          <t>departamento</t>
        </is>
      </c>
      <c r="E1" t="inlineStr">
        <is>
          <t>accion</t>
        </is>
      </c>
      <c r="F1" t="inlineStr">
        <is>
          <t>fecha</t>
        </is>
      </c>
      <c r="G1" t="inlineStr">
        <is>
          <t>hora</t>
        </is>
      </c>
      <c r="H1" t="inlineStr">
        <is>
          <t>observaciones</t>
        </is>
      </c>
      <c r="I1" s="2" t="inlineStr">
        <is>
          <t>hora_inicio_prevista</t>
        </is>
      </c>
      <c r="J1" s="2" t="inlineStr">
        <is>
          <t>hora_fin_prevista</t>
        </is>
      </c>
      <c r="K1" s="2" t="inlineStr">
        <is>
          <t>diferencia_min</t>
        </is>
      </c>
      <c r="L1" s="2" t="inlineStr">
        <is>
          <t>cumplimiento</t>
        </is>
      </c>
      <c r="M1" t="inlineStr">
        <is>
          <t>hora_inicio_descanso_prevista</t>
        </is>
      </c>
      <c r="N1" t="inlineStr">
        <is>
          <t>hora_fin_descanso_prevista</t>
        </is>
      </c>
    </row>
    <row r="2">
      <c r="A2" t="n">
        <v>1</v>
      </c>
      <c r="B2" t="inlineStr">
        <is>
          <t>EMP-001</t>
        </is>
      </c>
      <c r="C2" t="inlineStr">
        <is>
          <t>Ana García</t>
        </is>
      </c>
      <c r="D2" t="inlineStr">
        <is>
          <t>Reservas y Emisión</t>
        </is>
      </c>
      <c r="E2" t="inlineStr">
        <is>
          <t>Entrada a Turno</t>
        </is>
      </c>
      <c r="F2" s="3" t="inlineStr">
        <is>
          <t>2026-09-29</t>
        </is>
      </c>
      <c r="G2" s="5" t="inlineStr">
        <is>
          <t>08:30:00</t>
        </is>
      </c>
      <c r="H2" t="inlineStr">
        <is>
          <t>Prueba: jornada histórica</t>
        </is>
      </c>
      <c r="I2" s="5" t="inlineStr">
        <is>
          <t>08:30</t>
        </is>
      </c>
      <c r="J2" s="5" t="inlineStr">
        <is>
          <t>17:00</t>
        </is>
      </c>
      <c r="K2">
        <f>IF(OR(D2="",E2="",G2=""),"",IF(ISNUMBER(SEARCH("Entrada",E2)),ROUND((VALUE(LEFT(G2,2))*60+VALUE(MID(G2,4,2))+VALUE(RIGHT(G2,2))/60)-(VALUE(LEFT(I2,2))*60+VALUE(MID(I2,4,2))),0),IF(ISNUMBER(SEARCH("Salida",E2)),ROUND((VALUE(LEFT(G2,2))*60+VALUE(MID(G2,4,2))+VALUE(RIGHT(G2,2))/60)-(VALUE(LEFT(J2,2))*60+VALUE(MID(J2,4,2))),0),"")))</f>
        <v/>
      </c>
      <c r="L2">
        <f>IF(OR(D2="",E2="",G2=""),"",IF(ISNUMBER(SEARCH("Entrada",E2)),IF(K2&lt;=IFERROR(VLOOKUP(D2,Departamentos!$A$2:$D$100,4,FALSE),0),"A tiempo","Tarde"),IF(ISNUMBER(SEARCH("Salida",E2)),IF(K2&gt;=-IFERROR(VLOOKUP(D2,Departamentos!$A$2:$D$100,4,FALSE),0),"Cumple horario","Salida anticipada"),"No aplica")))</f>
        <v/>
      </c>
    </row>
    <row r="3">
      <c r="A3" t="n">
        <v>2</v>
      </c>
      <c r="B3" t="inlineStr">
        <is>
          <t>EMP-001</t>
        </is>
      </c>
      <c r="C3" t="inlineStr">
        <is>
          <t>Ana García</t>
        </is>
      </c>
      <c r="D3" t="inlineStr">
        <is>
          <t>Reservas y Emisión</t>
        </is>
      </c>
      <c r="E3" t="inlineStr">
        <is>
          <t>Salida de Turno</t>
        </is>
      </c>
      <c r="F3" s="3" t="inlineStr">
        <is>
          <t>2026-09-29</t>
        </is>
      </c>
      <c r="G3" s="5" t="inlineStr">
        <is>
          <t>17:00:00</t>
        </is>
      </c>
      <c r="H3" t="inlineStr">
        <is>
          <t>Prueba: jornada histórica</t>
        </is>
      </c>
      <c r="I3" s="5" t="inlineStr">
        <is>
          <t>08:30</t>
        </is>
      </c>
      <c r="J3" s="5" t="inlineStr">
        <is>
          <t>17:00</t>
        </is>
      </c>
      <c r="K3">
        <f>IF(OR(D3="",E3="",G3=""),"",IF(ISNUMBER(SEARCH("Entrada",E3)),ROUND((VALUE(LEFT(G3,2))*60+VALUE(MID(G3,4,2))+VALUE(RIGHT(G3,2))/60)-(VALUE(LEFT(I3,2))*60+VALUE(MID(I3,4,2))),0),IF(ISNUMBER(SEARCH("Salida",E3)),ROUND((VALUE(LEFT(G3,2))*60+VALUE(MID(G3,4,2))+VALUE(RIGHT(G3,2))/60)-(VALUE(LEFT(J3,2))*60+VALUE(MID(J3,4,2))),0),"")))</f>
        <v/>
      </c>
      <c r="L3">
        <f>IF(OR(D3="",E3="",G3=""),"",IF(ISNUMBER(SEARCH("Entrada",E3)),IF(K3&lt;=IFERROR(VLOOKUP(D3,Departamentos!$A$2:$D$100,4,FALSE),0),"A tiempo","Tarde"),IF(ISNUMBER(SEARCH("Salida",E3)),IF(K3&gt;=-IFERROR(VLOOKUP(D3,Departamentos!$A$2:$D$100,4,FALSE),0),"Cumple horario","Salida anticipada"),"No aplica")))</f>
        <v/>
      </c>
    </row>
    <row r="4">
      <c r="A4" t="n">
        <v>3</v>
      </c>
      <c r="B4" t="inlineStr">
        <is>
          <t>EMP-002</t>
        </is>
      </c>
      <c r="C4" t="inlineStr">
        <is>
          <t>Carlos López</t>
        </is>
      </c>
      <c r="D4" t="inlineStr">
        <is>
          <t>Operaciones</t>
        </is>
      </c>
      <c r="E4" t="inlineStr">
        <is>
          <t>Entrada a Turno</t>
        </is>
      </c>
      <c r="F4" s="3" t="inlineStr">
        <is>
          <t>2026-09-30</t>
        </is>
      </c>
      <c r="G4" s="5" t="inlineStr">
        <is>
          <t>08:05:00</t>
        </is>
      </c>
      <c r="H4" t="inlineStr">
        <is>
          <t>Prueba: jornada histórica</t>
        </is>
      </c>
      <c r="I4" s="5" t="inlineStr">
        <is>
          <t>08:00</t>
        </is>
      </c>
      <c r="J4" s="5" t="inlineStr">
        <is>
          <t>16:30</t>
        </is>
      </c>
      <c r="K4">
        <f>IF(OR(D4="",E4="",G4=""),"",IF(ISNUMBER(SEARCH("Entrada",E4)),ROUND((VALUE(LEFT(G4,2))*60+VALUE(MID(G4,4,2))+VALUE(RIGHT(G4,2))/60)-(VALUE(LEFT(I4,2))*60+VALUE(MID(I4,4,2))),0),IF(ISNUMBER(SEARCH("Salida",E4)),ROUND((VALUE(LEFT(G4,2))*60+VALUE(MID(G4,4,2))+VALUE(RIGHT(G4,2))/60)-(VALUE(LEFT(J4,2))*60+VALUE(MID(J4,4,2))),0),"")))</f>
        <v/>
      </c>
      <c r="L4">
        <f>IF(OR(D4="",E4="",G4=""),"",IF(ISNUMBER(SEARCH("Entrada",E4)),IF(K4&lt;=IFERROR(VLOOKUP(D4,Departamentos!$A$2:$D$100,4,FALSE),0),"A tiempo","Tarde"),IF(ISNUMBER(SEARCH("Salida",E4)),IF(K4&gt;=-IFERROR(VLOOKUP(D4,Departamentos!$A$2:$D$100,4,FALSE),0),"Cumple horario","Salida anticipada"),"No aplica")))</f>
        <v/>
      </c>
    </row>
    <row r="5">
      <c r="A5" t="n">
        <v>4</v>
      </c>
      <c r="B5" t="inlineStr">
        <is>
          <t>EMP-002</t>
        </is>
      </c>
      <c r="C5" t="inlineStr">
        <is>
          <t>Carlos López</t>
        </is>
      </c>
      <c r="D5" t="inlineStr">
        <is>
          <t>Operaciones</t>
        </is>
      </c>
      <c r="E5" t="inlineStr">
        <is>
          <t>Salida de Turno</t>
        </is>
      </c>
      <c r="F5" s="3" t="inlineStr">
        <is>
          <t>2026-09-30</t>
        </is>
      </c>
      <c r="G5" s="5" t="inlineStr">
        <is>
          <t>16:40:00</t>
        </is>
      </c>
      <c r="H5" t="inlineStr">
        <is>
          <t>Prueba: jornada histórica</t>
        </is>
      </c>
      <c r="I5" s="5" t="inlineStr">
        <is>
          <t>08:00</t>
        </is>
      </c>
      <c r="J5" s="5" t="inlineStr">
        <is>
          <t>16:30</t>
        </is>
      </c>
      <c r="K5">
        <f>IF(OR(D5="",E5="",G5=""),"",IF(ISNUMBER(SEARCH("Entrada",E5)),ROUND((VALUE(LEFT(G5,2))*60+VALUE(MID(G5,4,2))+VALUE(RIGHT(G5,2))/60)-(VALUE(LEFT(I5,2))*60+VALUE(MID(I5,4,2))),0),IF(ISNUMBER(SEARCH("Salida",E5)),ROUND((VALUE(LEFT(G5,2))*60+VALUE(MID(G5,4,2))+VALUE(RIGHT(G5,2))/60)-(VALUE(LEFT(J5,2))*60+VALUE(MID(J5,4,2))),0),"")))</f>
        <v/>
      </c>
      <c r="L5">
        <f>IF(OR(D5="",E5="",G5=""),"",IF(ISNUMBER(SEARCH("Entrada",E5)),IF(K5&lt;=IFERROR(VLOOKUP(D5,Departamentos!$A$2:$D$100,4,FALSE),0),"A tiempo","Tarde"),IF(ISNUMBER(SEARCH("Salida",E5)),IF(K5&gt;=-IFERROR(VLOOKUP(D5,Departamentos!$A$2:$D$100,4,FALSE),0),"Cumple horario","Salida anticipada"),"No aplica")))</f>
        <v/>
      </c>
    </row>
    <row r="6">
      <c r="A6" t="n">
        <v>5</v>
      </c>
      <c r="B6" t="inlineStr">
        <is>
          <t>EMP-003</t>
        </is>
      </c>
      <c r="C6" t="inlineStr">
        <is>
          <t>Lucía Martín</t>
        </is>
      </c>
      <c r="D6" t="inlineStr">
        <is>
          <t>Recursos Humanos</t>
        </is>
      </c>
      <c r="E6" t="inlineStr">
        <is>
          <t>Entrada a Turno</t>
        </is>
      </c>
      <c r="F6" s="3" t="inlineStr">
        <is>
          <t>2026-10-01</t>
        </is>
      </c>
      <c r="G6" s="5" t="inlineStr">
        <is>
          <t>08:57:00</t>
        </is>
      </c>
      <c r="H6" t="inlineStr">
        <is>
          <t>Prueba: jornada histórica</t>
        </is>
      </c>
      <c r="I6" s="5" t="inlineStr">
        <is>
          <t>09:00</t>
        </is>
      </c>
      <c r="J6" s="5" t="inlineStr">
        <is>
          <t>13:00</t>
        </is>
      </c>
      <c r="K6">
        <f>IF(OR(D6="",E6="",G6=""),"",IF(ISNUMBER(SEARCH("Entrada",E6)),ROUND((VALUE(LEFT(G6,2))*60+VALUE(MID(G6,4,2))+VALUE(RIGHT(G6,2))/60)-(VALUE(LEFT(I6,2))*60+VALUE(MID(I6,4,2))),0),IF(ISNUMBER(SEARCH("Salida",E6)),ROUND((VALUE(LEFT(G6,2))*60+VALUE(MID(G6,4,2))+VALUE(RIGHT(G6,2))/60)-(VALUE(LEFT(J6,2))*60+VALUE(MID(J6,4,2))),0),"")))</f>
        <v/>
      </c>
      <c r="L6">
        <f>IF(OR(D6="",E6="",G6=""),"",IF(ISNUMBER(SEARCH("Entrada",E6)),IF(K6&lt;=IFERROR(VLOOKUP(D6,Departamentos!$A$2:$D$100,4,FALSE),0),"A tiempo","Tarde"),IF(ISNUMBER(SEARCH("Salida",E6)),IF(K6&gt;=-IFERROR(VLOOKUP(D6,Departamentos!$A$2:$D$100,4,FALSE),0),"Cumple horario","Salida anticipada"),"No aplica")))</f>
        <v/>
      </c>
    </row>
    <row r="7">
      <c r="A7" t="n">
        <v>6</v>
      </c>
      <c r="B7" t="inlineStr">
        <is>
          <t>EMP-003</t>
        </is>
      </c>
      <c r="C7" t="inlineStr">
        <is>
          <t>Lucía Martín</t>
        </is>
      </c>
      <c r="D7" t="inlineStr">
        <is>
          <t>Recursos Humanos</t>
        </is>
      </c>
      <c r="E7" t="inlineStr">
        <is>
          <t>Salida de Turno</t>
        </is>
      </c>
      <c r="F7" s="3" t="inlineStr">
        <is>
          <t>2026-10-01</t>
        </is>
      </c>
      <c r="G7" s="5" t="inlineStr">
        <is>
          <t>12:55:00</t>
        </is>
      </c>
      <c r="H7" t="inlineStr">
        <is>
          <t>Prueba: jornada histórica</t>
        </is>
      </c>
      <c r="I7" s="5" t="inlineStr">
        <is>
          <t>09:00</t>
        </is>
      </c>
      <c r="J7" s="5" t="inlineStr">
        <is>
          <t>13:00</t>
        </is>
      </c>
      <c r="K7">
        <f>IF(OR(D7="",E7="",G7=""),"",IF(ISNUMBER(SEARCH("Entrada",E7)),ROUND((VALUE(LEFT(G7,2))*60+VALUE(MID(G7,4,2))+VALUE(RIGHT(G7,2))/60)-(VALUE(LEFT(I7,2))*60+VALUE(MID(I7,4,2))),0),IF(ISNUMBER(SEARCH("Salida",E7)),ROUND((VALUE(LEFT(G7,2))*60+VALUE(MID(G7,4,2))+VALUE(RIGHT(G7,2))/60)-(VALUE(LEFT(J7,2))*60+VALUE(MID(J7,4,2))),0),"")))</f>
        <v/>
      </c>
      <c r="L7">
        <f>IF(OR(D7="",E7="",G7=""),"",IF(ISNUMBER(SEARCH("Entrada",E7)),IF(K7&lt;=IFERROR(VLOOKUP(D7,Departamentos!$A$2:$D$100,4,FALSE),0),"A tiempo","Tarde"),IF(ISNUMBER(SEARCH("Salida",E7)),IF(K7&gt;=-IFERROR(VLOOKUP(D7,Departamentos!$A$2:$D$100,4,FALSE),0),"Cumple horario","Salida anticipada"),"No aplica")))</f>
        <v/>
      </c>
    </row>
    <row r="8">
      <c r="A8" t="n">
        <v>7</v>
      </c>
      <c r="B8" t="inlineStr">
        <is>
          <t>EMP-004</t>
        </is>
      </c>
      <c r="C8" t="inlineStr">
        <is>
          <t>Pablo Torres</t>
        </is>
      </c>
      <c r="D8" t="inlineStr">
        <is>
          <t>Administración</t>
        </is>
      </c>
      <c r="E8" t="inlineStr">
        <is>
          <t>Entrada a Turno</t>
        </is>
      </c>
      <c r="F8" s="3" t="inlineStr">
        <is>
          <t>2026-10-03</t>
        </is>
      </c>
      <c r="G8" s="5" t="inlineStr">
        <is>
          <t>08:12:00</t>
        </is>
      </c>
      <c r="H8" t="inlineStr">
        <is>
          <t>Prueba: jornada histórica</t>
        </is>
      </c>
      <c r="I8" s="5" t="inlineStr">
        <is>
          <t>08:00</t>
        </is>
      </c>
      <c r="J8" s="5" t="inlineStr">
        <is>
          <t>16:00</t>
        </is>
      </c>
      <c r="K8">
        <f>IF(OR(D8="",E8="",G8=""),"",IF(ISNUMBER(SEARCH("Entrada",E8)),ROUND((VALUE(LEFT(G8,2))*60+VALUE(MID(G8,4,2))+VALUE(RIGHT(G8,2))/60)-(VALUE(LEFT(I8,2))*60+VALUE(MID(I8,4,2))),0),IF(ISNUMBER(SEARCH("Salida",E8)),ROUND((VALUE(LEFT(G8,2))*60+VALUE(MID(G8,4,2))+VALUE(RIGHT(G8,2))/60)-(VALUE(LEFT(J8,2))*60+VALUE(MID(J8,4,2))),0),"")))</f>
        <v/>
      </c>
      <c r="L8">
        <f>IF(OR(D8="",E8="",G8=""),"",IF(ISNUMBER(SEARCH("Entrada",E8)),IF(K8&lt;=IFERROR(VLOOKUP(D8,Departamentos!$A$2:$D$100,4,FALSE),0),"A tiempo","Tarde"),IF(ISNUMBER(SEARCH("Salida",E8)),IF(K8&gt;=-IFERROR(VLOOKUP(D8,Departamentos!$A$2:$D$100,4,FALSE),0),"Cumple horario","Salida anticipada"),"No aplica")))</f>
        <v/>
      </c>
    </row>
    <row r="9">
      <c r="A9" t="n">
        <v>8</v>
      </c>
      <c r="B9" t="inlineStr">
        <is>
          <t>EMP-004</t>
        </is>
      </c>
      <c r="C9" t="inlineStr">
        <is>
          <t>Pablo Torres</t>
        </is>
      </c>
      <c r="D9" t="inlineStr">
        <is>
          <t>Administración</t>
        </is>
      </c>
      <c r="E9" t="inlineStr">
        <is>
          <t>Salida de Turno</t>
        </is>
      </c>
      <c r="F9" s="3" t="inlineStr">
        <is>
          <t>2026-10-03</t>
        </is>
      </c>
      <c r="G9" s="5" t="inlineStr">
        <is>
          <t>16:00:00</t>
        </is>
      </c>
      <c r="H9" t="inlineStr">
        <is>
          <t>Prueba: jornada histórica</t>
        </is>
      </c>
      <c r="I9" s="5" t="inlineStr">
        <is>
          <t>08:00</t>
        </is>
      </c>
      <c r="J9" s="5" t="inlineStr">
        <is>
          <t>16:00</t>
        </is>
      </c>
      <c r="K9">
        <f>IF(OR(D9="",E9="",G9=""),"",IF(ISNUMBER(SEARCH("Entrada",E9)),ROUND((VALUE(LEFT(G9,2))*60+VALUE(MID(G9,4,2))+VALUE(RIGHT(G9,2))/60)-(VALUE(LEFT(I9,2))*60+VALUE(MID(I9,4,2))),0),IF(ISNUMBER(SEARCH("Salida",E9)),ROUND((VALUE(LEFT(G9,2))*60+VALUE(MID(G9,4,2))+VALUE(RIGHT(G9,2))/60)-(VALUE(LEFT(J9,2))*60+VALUE(MID(J9,4,2))),0),"")))</f>
        <v/>
      </c>
      <c r="L9">
        <f>IF(OR(D9="",E9="",G9=""),"",IF(ISNUMBER(SEARCH("Entrada",E9)),IF(K9&lt;=IFERROR(VLOOKUP(D9,Departamentos!$A$2:$D$100,4,FALSE),0),"A tiempo","Tarde"),IF(ISNUMBER(SEARCH("Salida",E9)),IF(K9&gt;=-IFERROR(VLOOKUP(D9,Departamentos!$A$2:$D$100,4,FALSE),0),"Cumple horario","Salida anticipada"),"No aplica")))</f>
        <v/>
      </c>
    </row>
    <row r="10">
      <c r="A10" t="n">
        <v>9</v>
      </c>
      <c r="B10" t="inlineStr">
        <is>
          <t>EMP-005</t>
        </is>
      </c>
      <c r="C10" t="inlineStr">
        <is>
          <t>Elena Ruiz</t>
        </is>
      </c>
      <c r="D10" t="inlineStr">
        <is>
          <t>Atención al Cliente</t>
        </is>
      </c>
      <c r="E10" t="inlineStr">
        <is>
          <t>Entrada a Turno</t>
        </is>
      </c>
      <c r="F10" s="3" t="inlineStr">
        <is>
          <t>2026-10-04</t>
        </is>
      </c>
      <c r="G10" s="5" t="inlineStr">
        <is>
          <t>09:30:00</t>
        </is>
      </c>
      <c r="H10" t="inlineStr">
        <is>
          <t>Prueba: jornada histórica</t>
        </is>
      </c>
      <c r="I10" s="5" t="inlineStr">
        <is>
          <t>09:30</t>
        </is>
      </c>
      <c r="J10" s="5" t="inlineStr">
        <is>
          <t>18:00</t>
        </is>
      </c>
      <c r="K10">
        <f>IF(OR(D10="",E10="",G10=""),"",IF(ISNUMBER(SEARCH("Entrada",E10)),ROUND((VALUE(LEFT(G10,2))*60+VALUE(MID(G10,4,2))+VALUE(RIGHT(G10,2))/60)-(VALUE(LEFT(I10,2))*60+VALUE(MID(I10,4,2))),0),IF(ISNUMBER(SEARCH("Salida",E10)),ROUND((VALUE(LEFT(G10,2))*60+VALUE(MID(G10,4,2))+VALUE(RIGHT(G10,2))/60)-(VALUE(LEFT(J10,2))*60+VALUE(MID(J10,4,2))),0),"")))</f>
        <v/>
      </c>
      <c r="L10">
        <f>IF(OR(D10="",E10="",G10=""),"",IF(ISNUMBER(SEARCH("Entrada",E10)),IF(K10&lt;=IFERROR(VLOOKUP(D10,Departamentos!$A$2:$D$100,4,FALSE),0),"A tiempo","Tarde"),IF(ISNUMBER(SEARCH("Salida",E10)),IF(K10&gt;=-IFERROR(VLOOKUP(D10,Departamentos!$A$2:$D$100,4,FALSE),0),"Cumple horario","Salida anticipada"),"No aplica")))</f>
        <v/>
      </c>
    </row>
    <row r="11">
      <c r="A11" t="n">
        <v>10</v>
      </c>
      <c r="B11" t="inlineStr">
        <is>
          <t>EMP-005</t>
        </is>
      </c>
      <c r="C11" t="inlineStr">
        <is>
          <t>Elena Ruiz</t>
        </is>
      </c>
      <c r="D11" t="inlineStr">
        <is>
          <t>Atención al Cliente</t>
        </is>
      </c>
      <c r="E11" t="inlineStr">
        <is>
          <t>Salida de Turno</t>
        </is>
      </c>
      <c r="F11" s="3" t="inlineStr">
        <is>
          <t>2026-10-04</t>
        </is>
      </c>
      <c r="G11" s="5" t="inlineStr">
        <is>
          <t>18:10:00</t>
        </is>
      </c>
      <c r="H11" t="inlineStr">
        <is>
          <t>Prueba: jornada histórica</t>
        </is>
      </c>
      <c r="I11" s="5" t="inlineStr">
        <is>
          <t>09:30</t>
        </is>
      </c>
      <c r="J11" s="5" t="inlineStr">
        <is>
          <t>18:00</t>
        </is>
      </c>
      <c r="K11">
        <f>IF(OR(D11="",E11="",G11=""),"",IF(ISNUMBER(SEARCH("Entrada",E11)),ROUND((VALUE(LEFT(G11,2))*60+VALUE(MID(G11,4,2))+VALUE(RIGHT(G11,2))/60)-(VALUE(LEFT(I11,2))*60+VALUE(MID(I11,4,2))),0),IF(ISNUMBER(SEARCH("Salida",E11)),ROUND((VALUE(LEFT(G11,2))*60+VALUE(MID(G11,4,2))+VALUE(RIGHT(G11,2))/60)-(VALUE(LEFT(J11,2))*60+VALUE(MID(J11,4,2))),0),"")))</f>
        <v/>
      </c>
      <c r="L11">
        <f>IF(OR(D11="",E11="",G11=""),"",IF(ISNUMBER(SEARCH("Entrada",E11)),IF(K11&lt;=IFERROR(VLOOKUP(D11,Departamentos!$A$2:$D$100,4,FALSE),0),"A tiempo","Tarde"),IF(ISNUMBER(SEARCH("Salida",E11)),IF(K11&gt;=-IFERROR(VLOOKUP(D11,Departamentos!$A$2:$D$100,4,FALSE),0),"Cumple horario","Salida anticipada"),"No aplica")))</f>
        <v/>
      </c>
    </row>
    <row r="12">
      <c r="A12" t="n">
        <v>11</v>
      </c>
      <c r="B12" t="inlineStr">
        <is>
          <t>EMP-006</t>
        </is>
      </c>
      <c r="C12" t="inlineStr">
        <is>
          <t>Diego Sánchez</t>
        </is>
      </c>
      <c r="D12" t="inlineStr">
        <is>
          <t>Reservas y Emisión</t>
        </is>
      </c>
      <c r="E12" t="inlineStr">
        <is>
          <t>Entrada a Turno</t>
        </is>
      </c>
      <c r="F12" s="3" t="inlineStr">
        <is>
          <t>2026-10-05</t>
        </is>
      </c>
      <c r="G12" s="5" t="inlineStr">
        <is>
          <t>08:30:00</t>
        </is>
      </c>
      <c r="H12" t="inlineStr">
        <is>
          <t>Prueba: jornada histórica</t>
        </is>
      </c>
      <c r="I12" s="5" t="inlineStr">
        <is>
          <t>08:30</t>
        </is>
      </c>
      <c r="J12" s="5" t="inlineStr">
        <is>
          <t>17:00</t>
        </is>
      </c>
      <c r="K12">
        <f>IF(OR(D12="",E12="",G12=""),"",IF(ISNUMBER(SEARCH("Entrada",E12)),ROUND((VALUE(LEFT(G12,2))*60+VALUE(MID(G12,4,2))+VALUE(RIGHT(G12,2))/60)-(VALUE(LEFT(I12,2))*60+VALUE(MID(I12,4,2))),0),IF(ISNUMBER(SEARCH("Salida",E12)),ROUND((VALUE(LEFT(G12,2))*60+VALUE(MID(G12,4,2))+VALUE(RIGHT(G12,2))/60)-(VALUE(LEFT(J12,2))*60+VALUE(MID(J12,4,2))),0),"")))</f>
        <v/>
      </c>
      <c r="L12">
        <f>IF(OR(D12="",E12="",G12=""),"",IF(ISNUMBER(SEARCH("Entrada",E12)),IF(K12&lt;=IFERROR(VLOOKUP(D12,Departamentos!$A$2:$D$100,4,FALSE),0),"A tiempo","Tarde"),IF(ISNUMBER(SEARCH("Salida",E12)),IF(K12&gt;=-IFERROR(VLOOKUP(D12,Departamentos!$A$2:$D$100,4,FALSE),0),"Cumple horario","Salida anticipada"),"No aplica")))</f>
        <v/>
      </c>
    </row>
    <row r="13">
      <c r="A13" t="n">
        <v>12</v>
      </c>
      <c r="B13" t="inlineStr">
        <is>
          <t>EMP-006</t>
        </is>
      </c>
      <c r="C13" t="inlineStr">
        <is>
          <t>Diego Sánchez</t>
        </is>
      </c>
      <c r="D13" t="inlineStr">
        <is>
          <t>Reservas y Emisión</t>
        </is>
      </c>
      <c r="E13" t="inlineStr">
        <is>
          <t>Salida de Turno</t>
        </is>
      </c>
      <c r="F13" s="3" t="inlineStr">
        <is>
          <t>2026-10-05</t>
        </is>
      </c>
      <c r="G13" s="5" t="inlineStr">
        <is>
          <t>16:55:00</t>
        </is>
      </c>
      <c r="H13" t="inlineStr">
        <is>
          <t>Prueba: jornada histórica</t>
        </is>
      </c>
      <c r="I13" s="5" t="inlineStr">
        <is>
          <t>08:30</t>
        </is>
      </c>
      <c r="J13" s="5" t="inlineStr">
        <is>
          <t>17:00</t>
        </is>
      </c>
      <c r="K13">
        <f>IF(OR(D13="",E13="",G13=""),"",IF(ISNUMBER(SEARCH("Entrada",E13)),ROUND((VALUE(LEFT(G13,2))*60+VALUE(MID(G13,4,2))+VALUE(RIGHT(G13,2))/60)-(VALUE(LEFT(I13,2))*60+VALUE(MID(I13,4,2))),0),IF(ISNUMBER(SEARCH("Salida",E13)),ROUND((VALUE(LEFT(G13,2))*60+VALUE(MID(G13,4,2))+VALUE(RIGHT(G13,2))/60)-(VALUE(LEFT(J13,2))*60+VALUE(MID(J13,4,2))),0),"")))</f>
        <v/>
      </c>
      <c r="L13">
        <f>IF(OR(D13="",E13="",G13=""),"",IF(ISNUMBER(SEARCH("Entrada",E13)),IF(K13&lt;=IFERROR(VLOOKUP(D13,Departamentos!$A$2:$D$100,4,FALSE),0),"A tiempo","Tarde"),IF(ISNUMBER(SEARCH("Salida",E13)),IF(K13&gt;=-IFERROR(VLOOKUP(D13,Departamentos!$A$2:$D$100,4,FALSE),0),"Cumple horario","Salida anticipada"),"No aplica")))</f>
        <v/>
      </c>
    </row>
    <row r="14">
      <c r="A14" t="n">
        <v>13</v>
      </c>
      <c r="B14" t="inlineStr">
        <is>
          <t>EMP-007</t>
        </is>
      </c>
      <c r="C14" t="inlineStr">
        <is>
          <t>Sofía Romero</t>
        </is>
      </c>
      <c r="D14" t="inlineStr">
        <is>
          <t>Operaciones</t>
        </is>
      </c>
      <c r="E14" t="inlineStr">
        <is>
          <t>Entrada a Turno</t>
        </is>
      </c>
      <c r="F14" s="3" t="inlineStr">
        <is>
          <t>2026-10-06</t>
        </is>
      </c>
      <c r="G14" s="5" t="inlineStr">
        <is>
          <t>08:05:00</t>
        </is>
      </c>
      <c r="H14" t="inlineStr">
        <is>
          <t>Prueba: jornada histórica</t>
        </is>
      </c>
      <c r="I14" s="5" t="inlineStr">
        <is>
          <t>08:00</t>
        </is>
      </c>
      <c r="J14" s="5" t="inlineStr">
        <is>
          <t>16:30</t>
        </is>
      </c>
      <c r="K14">
        <f>IF(OR(D14="",E14="",G14=""),"",IF(ISNUMBER(SEARCH("Entrada",E14)),ROUND((VALUE(LEFT(G14,2))*60+VALUE(MID(G14,4,2))+VALUE(RIGHT(G14,2))/60)-(VALUE(LEFT(I14,2))*60+VALUE(MID(I14,4,2))),0),IF(ISNUMBER(SEARCH("Salida",E14)),ROUND((VALUE(LEFT(G14,2))*60+VALUE(MID(G14,4,2))+VALUE(RIGHT(G14,2))/60)-(VALUE(LEFT(J14,2))*60+VALUE(MID(J14,4,2))),0),"")))</f>
        <v/>
      </c>
      <c r="L14">
        <f>IF(OR(D14="",E14="",G14=""),"",IF(ISNUMBER(SEARCH("Entrada",E14)),IF(K14&lt;=IFERROR(VLOOKUP(D14,Departamentos!$A$2:$D$100,4,FALSE),0),"A tiempo","Tarde"),IF(ISNUMBER(SEARCH("Salida",E14)),IF(K14&gt;=-IFERROR(VLOOKUP(D14,Departamentos!$A$2:$D$100,4,FALSE),0),"Cumple horario","Salida anticipada"),"No aplica")))</f>
        <v/>
      </c>
    </row>
    <row r="15">
      <c r="A15" t="n">
        <v>14</v>
      </c>
      <c r="B15" t="inlineStr">
        <is>
          <t>EMP-007</t>
        </is>
      </c>
      <c r="C15" t="inlineStr">
        <is>
          <t>Sofía Romero</t>
        </is>
      </c>
      <c r="D15" t="inlineStr">
        <is>
          <t>Operaciones</t>
        </is>
      </c>
      <c r="E15" t="inlineStr">
        <is>
          <t>Salida de Turno</t>
        </is>
      </c>
      <c r="F15" s="3" t="inlineStr">
        <is>
          <t>2026-10-06</t>
        </is>
      </c>
      <c r="G15" s="5" t="inlineStr">
        <is>
          <t>16:30:00</t>
        </is>
      </c>
      <c r="H15" t="inlineStr">
        <is>
          <t>Prueba: jornada histórica</t>
        </is>
      </c>
      <c r="I15" s="5" t="inlineStr">
        <is>
          <t>08:00</t>
        </is>
      </c>
      <c r="J15" s="5" t="inlineStr">
        <is>
          <t>16:30</t>
        </is>
      </c>
      <c r="K15">
        <f>IF(OR(D15="",E15="",G15=""),"",IF(ISNUMBER(SEARCH("Entrada",E15)),ROUND((VALUE(LEFT(G15,2))*60+VALUE(MID(G15,4,2))+VALUE(RIGHT(G15,2))/60)-(VALUE(LEFT(I15,2))*60+VALUE(MID(I15,4,2))),0),IF(ISNUMBER(SEARCH("Salida",E15)),ROUND((VALUE(LEFT(G15,2))*60+VALUE(MID(G15,4,2))+VALUE(RIGHT(G15,2))/60)-(VALUE(LEFT(J15,2))*60+VALUE(MID(J15,4,2))),0),"")))</f>
        <v/>
      </c>
      <c r="L15">
        <f>IF(OR(D15="",E15="",G15=""),"",IF(ISNUMBER(SEARCH("Entrada",E15)),IF(K15&lt;=IFERROR(VLOOKUP(D15,Departamentos!$A$2:$D$100,4,FALSE),0),"A tiempo","Tarde"),IF(ISNUMBER(SEARCH("Salida",E15)),IF(K15&gt;=-IFERROR(VLOOKUP(D15,Departamentos!$A$2:$D$100,4,FALSE),0),"Cumple horario","Salida anticipada"),"No aplica")))</f>
        <v/>
      </c>
    </row>
    <row r="16">
      <c r="A16" t="n">
        <v>15</v>
      </c>
      <c r="B16" t="inlineStr">
        <is>
          <t>EMP-008</t>
        </is>
      </c>
      <c r="C16" t="inlineStr">
        <is>
          <t>Javier Díaz</t>
        </is>
      </c>
      <c r="D16" t="inlineStr">
        <is>
          <t>Recursos Humanos</t>
        </is>
      </c>
      <c r="E16" t="inlineStr">
        <is>
          <t>Entrada a Turno</t>
        </is>
      </c>
      <c r="F16" s="3" t="inlineStr">
        <is>
          <t>2026-10-07</t>
        </is>
      </c>
      <c r="G16" s="5" t="inlineStr">
        <is>
          <t>08:57:00</t>
        </is>
      </c>
      <c r="H16" t="inlineStr">
        <is>
          <t>Prueba: jornada histórica</t>
        </is>
      </c>
      <c r="I16" s="5" t="inlineStr">
        <is>
          <t>09:00</t>
        </is>
      </c>
      <c r="J16" s="5" t="inlineStr">
        <is>
          <t>13:00</t>
        </is>
      </c>
      <c r="K16">
        <f>IF(OR(D16="",E16="",G16=""),"",IF(ISNUMBER(SEARCH("Entrada",E16)),ROUND((VALUE(LEFT(G16,2))*60+VALUE(MID(G16,4,2))+VALUE(RIGHT(G16,2))/60)-(VALUE(LEFT(I16,2))*60+VALUE(MID(I16,4,2))),0),IF(ISNUMBER(SEARCH("Salida",E16)),ROUND((VALUE(LEFT(G16,2))*60+VALUE(MID(G16,4,2))+VALUE(RIGHT(G16,2))/60)-(VALUE(LEFT(J16,2))*60+VALUE(MID(J16,4,2))),0),"")))</f>
        <v/>
      </c>
      <c r="L16">
        <f>IF(OR(D16="",E16="",G16=""),"",IF(ISNUMBER(SEARCH("Entrada",E16)),IF(K16&lt;=IFERROR(VLOOKUP(D16,Departamentos!$A$2:$D$100,4,FALSE),0),"A tiempo","Tarde"),IF(ISNUMBER(SEARCH("Salida",E16)),IF(K16&gt;=-IFERROR(VLOOKUP(D16,Departamentos!$A$2:$D$100,4,FALSE),0),"Cumple horario","Salida anticipada"),"No aplica")))</f>
        <v/>
      </c>
    </row>
    <row r="17">
      <c r="A17" t="n">
        <v>16</v>
      </c>
      <c r="B17" t="inlineStr">
        <is>
          <t>EMP-008</t>
        </is>
      </c>
      <c r="C17" t="inlineStr">
        <is>
          <t>Javier Díaz</t>
        </is>
      </c>
      <c r="D17" t="inlineStr">
        <is>
          <t>Recursos Humanos</t>
        </is>
      </c>
      <c r="E17" t="inlineStr">
        <is>
          <t>Salida de Turno</t>
        </is>
      </c>
      <c r="F17" s="3" t="inlineStr">
        <is>
          <t>2026-10-07</t>
        </is>
      </c>
      <c r="G17" s="5" t="inlineStr">
        <is>
          <t>13:10:00</t>
        </is>
      </c>
      <c r="H17" t="inlineStr">
        <is>
          <t>Prueba: jornada histórica</t>
        </is>
      </c>
      <c r="I17" s="5" t="inlineStr">
        <is>
          <t>09:00</t>
        </is>
      </c>
      <c r="J17" s="5" t="inlineStr">
        <is>
          <t>13:00</t>
        </is>
      </c>
      <c r="K17">
        <f>IF(OR(D17="",E17="",G17=""),"",IF(ISNUMBER(SEARCH("Entrada",E17)),ROUND((VALUE(LEFT(G17,2))*60+VALUE(MID(G17,4,2))+VALUE(RIGHT(G17,2))/60)-(VALUE(LEFT(I17,2))*60+VALUE(MID(I17,4,2))),0),IF(ISNUMBER(SEARCH("Salida",E17)),ROUND((VALUE(LEFT(G17,2))*60+VALUE(MID(G17,4,2))+VALUE(RIGHT(G17,2))/60)-(VALUE(LEFT(J17,2))*60+VALUE(MID(J17,4,2))),0),"")))</f>
        <v/>
      </c>
      <c r="L17">
        <f>IF(OR(D17="",E17="",G17=""),"",IF(ISNUMBER(SEARCH("Entrada",E17)),IF(K17&lt;=IFERROR(VLOOKUP(D17,Departamentos!$A$2:$D$100,4,FALSE),0),"A tiempo","Tarde"),IF(ISNUMBER(SEARCH("Salida",E17)),IF(K17&gt;=-IFERROR(VLOOKUP(D17,Departamentos!$A$2:$D$100,4,FALSE),0),"Cumple horario","Salida anticipada"),"No aplica")))</f>
        <v/>
      </c>
    </row>
    <row r="18">
      <c r="A18" t="n">
        <v>17</v>
      </c>
      <c r="B18" t="inlineStr">
        <is>
          <t>EMP-009</t>
        </is>
      </c>
      <c r="C18" t="inlineStr">
        <is>
          <t>Carmen Vega</t>
        </is>
      </c>
      <c r="D18" t="inlineStr">
        <is>
          <t>Administración</t>
        </is>
      </c>
      <c r="E18" t="inlineStr">
        <is>
          <t>Entrada a Turno</t>
        </is>
      </c>
      <c r="F18" s="3" t="inlineStr">
        <is>
          <t>2026-10-09</t>
        </is>
      </c>
      <c r="G18" s="5" t="inlineStr">
        <is>
          <t>08:12:00</t>
        </is>
      </c>
      <c r="H18" t="inlineStr">
        <is>
          <t>Prueba: jornada histórica</t>
        </is>
      </c>
      <c r="I18" s="5" t="inlineStr">
        <is>
          <t>08:00</t>
        </is>
      </c>
      <c r="J18" s="5" t="inlineStr">
        <is>
          <t>16:00</t>
        </is>
      </c>
      <c r="K18">
        <f>IF(OR(D18="",E18="",G18=""),"",IF(ISNUMBER(SEARCH("Entrada",E18)),ROUND((VALUE(LEFT(G18,2))*60+VALUE(MID(G18,4,2))+VALUE(RIGHT(G18,2))/60)-(VALUE(LEFT(I18,2))*60+VALUE(MID(I18,4,2))),0),IF(ISNUMBER(SEARCH("Salida",E18)),ROUND((VALUE(LEFT(G18,2))*60+VALUE(MID(G18,4,2))+VALUE(RIGHT(G18,2))/60)-(VALUE(LEFT(J18,2))*60+VALUE(MID(J18,4,2))),0),"")))</f>
        <v/>
      </c>
      <c r="L18">
        <f>IF(OR(D18="",E18="",G18=""),"",IF(ISNUMBER(SEARCH("Entrada",E18)),IF(K18&lt;=IFERROR(VLOOKUP(D18,Departamentos!$A$2:$D$100,4,FALSE),0),"A tiempo","Tarde"),IF(ISNUMBER(SEARCH("Salida",E18)),IF(K18&gt;=-IFERROR(VLOOKUP(D18,Departamentos!$A$2:$D$100,4,FALSE),0),"Cumple horario","Salida anticipada"),"No aplica")))</f>
        <v/>
      </c>
    </row>
    <row r="19">
      <c r="A19" t="n">
        <v>18</v>
      </c>
      <c r="B19" t="inlineStr">
        <is>
          <t>EMP-009</t>
        </is>
      </c>
      <c r="C19" t="inlineStr">
        <is>
          <t>Carmen Vega</t>
        </is>
      </c>
      <c r="D19" t="inlineStr">
        <is>
          <t>Administración</t>
        </is>
      </c>
      <c r="E19" t="inlineStr">
        <is>
          <t>Salida de Turno</t>
        </is>
      </c>
      <c r="F19" s="3" t="inlineStr">
        <is>
          <t>2026-10-09</t>
        </is>
      </c>
      <c r="G19" s="5" t="inlineStr">
        <is>
          <t>15:55:00</t>
        </is>
      </c>
      <c r="H19" t="inlineStr">
        <is>
          <t>Prueba: jornada histórica</t>
        </is>
      </c>
      <c r="I19" s="5" t="inlineStr">
        <is>
          <t>08:00</t>
        </is>
      </c>
      <c r="J19" s="5" t="inlineStr">
        <is>
          <t>16:00</t>
        </is>
      </c>
      <c r="K19">
        <f>IF(OR(D19="",E19="",G19=""),"",IF(ISNUMBER(SEARCH("Entrada",E19)),ROUND((VALUE(LEFT(G19,2))*60+VALUE(MID(G19,4,2))+VALUE(RIGHT(G19,2))/60)-(VALUE(LEFT(I19,2))*60+VALUE(MID(I19,4,2))),0),IF(ISNUMBER(SEARCH("Salida",E19)),ROUND((VALUE(LEFT(G19,2))*60+VALUE(MID(G19,4,2))+VALUE(RIGHT(G19,2))/60)-(VALUE(LEFT(J19,2))*60+VALUE(MID(J19,4,2))),0),"")))</f>
        <v/>
      </c>
      <c r="L19">
        <f>IF(OR(D19="",E19="",G19=""),"",IF(ISNUMBER(SEARCH("Entrada",E19)),IF(K19&lt;=IFERROR(VLOOKUP(D19,Departamentos!$A$2:$D$100,4,FALSE),0),"A tiempo","Tarde"),IF(ISNUMBER(SEARCH("Salida",E19)),IF(K19&gt;=-IFERROR(VLOOKUP(D19,Departamentos!$A$2:$D$100,4,FALSE),0),"Cumple horario","Salida anticipada"),"No aplica")))</f>
        <v/>
      </c>
    </row>
    <row r="20">
      <c r="A20" t="n">
        <v>19</v>
      </c>
      <c r="B20" t="inlineStr">
        <is>
          <t>EMP-010</t>
        </is>
      </c>
      <c r="C20" t="inlineStr">
        <is>
          <t>Andrés Pérez</t>
        </is>
      </c>
      <c r="D20" t="inlineStr">
        <is>
          <t>Atención al Cliente</t>
        </is>
      </c>
      <c r="E20" t="inlineStr">
        <is>
          <t>Entrada a Turno</t>
        </is>
      </c>
      <c r="F20" s="3" t="inlineStr">
        <is>
          <t>2026-10-10</t>
        </is>
      </c>
      <c r="G20" s="5" t="inlineStr">
        <is>
          <t>09:30:00</t>
        </is>
      </c>
      <c r="H20" t="inlineStr">
        <is>
          <t>Prueba: jornada histórica</t>
        </is>
      </c>
      <c r="I20" s="5" t="inlineStr">
        <is>
          <t>09:30</t>
        </is>
      </c>
      <c r="J20" s="5" t="inlineStr">
        <is>
          <t>18:00</t>
        </is>
      </c>
      <c r="K20">
        <f>IF(OR(D20="",E20="",G20=""),"",IF(ISNUMBER(SEARCH("Entrada",E20)),ROUND((VALUE(LEFT(G20,2))*60+VALUE(MID(G20,4,2))+VALUE(RIGHT(G20,2))/60)-(VALUE(LEFT(I20,2))*60+VALUE(MID(I20,4,2))),0),IF(ISNUMBER(SEARCH("Salida",E20)),ROUND((VALUE(LEFT(G20,2))*60+VALUE(MID(G20,4,2))+VALUE(RIGHT(G20,2))/60)-(VALUE(LEFT(J20,2))*60+VALUE(MID(J20,4,2))),0),"")))</f>
        <v/>
      </c>
      <c r="L20">
        <f>IF(OR(D20="",E20="",G20=""),"",IF(ISNUMBER(SEARCH("Entrada",E20)),IF(K20&lt;=IFERROR(VLOOKUP(D20,Departamentos!$A$2:$D$100,4,FALSE),0),"A tiempo","Tarde"),IF(ISNUMBER(SEARCH("Salida",E20)),IF(K20&gt;=-IFERROR(VLOOKUP(D20,Departamentos!$A$2:$D$100,4,FALSE),0),"Cumple horario","Salida anticipada"),"No aplica")))</f>
        <v/>
      </c>
    </row>
    <row r="21">
      <c r="A21" t="n">
        <v>20</v>
      </c>
      <c r="B21" t="inlineStr">
        <is>
          <t>EMP-010</t>
        </is>
      </c>
      <c r="C21" t="inlineStr">
        <is>
          <t>Andrés Pérez</t>
        </is>
      </c>
      <c r="D21" t="inlineStr">
        <is>
          <t>Atención al Cliente</t>
        </is>
      </c>
      <c r="E21" t="inlineStr">
        <is>
          <t>Salida de Turno</t>
        </is>
      </c>
      <c r="F21" s="3" t="inlineStr">
        <is>
          <t>2026-10-10</t>
        </is>
      </c>
      <c r="G21" s="5" t="inlineStr">
        <is>
          <t>18:00:00</t>
        </is>
      </c>
      <c r="H21" t="inlineStr">
        <is>
          <t>Prueba: jornada histórica</t>
        </is>
      </c>
      <c r="I21" s="5" t="inlineStr">
        <is>
          <t>09:30</t>
        </is>
      </c>
      <c r="J21" s="5" t="inlineStr">
        <is>
          <t>18:00</t>
        </is>
      </c>
      <c r="K21">
        <f>IF(OR(D21="",E21="",G21=""),"",IF(ISNUMBER(SEARCH("Entrada",E21)),ROUND((VALUE(LEFT(G21,2))*60+VALUE(MID(G21,4,2))+VALUE(RIGHT(G21,2))/60)-(VALUE(LEFT(I21,2))*60+VALUE(MID(I21,4,2))),0),IF(ISNUMBER(SEARCH("Salida",E21)),ROUND((VALUE(LEFT(G21,2))*60+VALUE(MID(G21,4,2))+VALUE(RIGHT(G21,2))/60)-(VALUE(LEFT(J21,2))*60+VALUE(MID(J21,4,2))),0),"")))</f>
        <v/>
      </c>
      <c r="L21">
        <f>IF(OR(D21="",E21="",G21=""),"",IF(ISNUMBER(SEARCH("Entrada",E21)),IF(K21&lt;=IFERROR(VLOOKUP(D21,Departamentos!$A$2:$D$100,4,FALSE),0),"A tiempo","Tarde"),IF(ISNUMBER(SEARCH("Salida",E21)),IF(K21&gt;=-IFERROR(VLOOKUP(D21,Departamentos!$A$2:$D$100,4,FALSE),0),"Cumple horario","Salida anticipada"),"No aplica")))</f>
        <v/>
      </c>
    </row>
    <row r="22">
      <c r="A22" t="n">
        <v>21</v>
      </c>
      <c r="B22" t="inlineStr">
        <is>
          <t>EMP-011</t>
        </is>
      </c>
      <c r="C22" t="inlineStr">
        <is>
          <t>Nuria Castro</t>
        </is>
      </c>
      <c r="D22" t="inlineStr">
        <is>
          <t>Reservas y Emisión</t>
        </is>
      </c>
      <c r="E22" t="inlineStr">
        <is>
          <t>Entrada a Turno</t>
        </is>
      </c>
      <c r="F22" s="3" t="inlineStr">
        <is>
          <t>2026-10-11</t>
        </is>
      </c>
      <c r="G22" s="5" t="inlineStr">
        <is>
          <t>08:30:00</t>
        </is>
      </c>
      <c r="H22" t="inlineStr">
        <is>
          <t>Prueba: jornada histórica</t>
        </is>
      </c>
      <c r="I22" s="5" t="inlineStr">
        <is>
          <t>08:30</t>
        </is>
      </c>
      <c r="J22" s="5" t="inlineStr">
        <is>
          <t>17:00</t>
        </is>
      </c>
      <c r="K22">
        <f>IF(OR(D22="",E22="",G22=""),"",IF(ISNUMBER(SEARCH("Entrada",E22)),ROUND((VALUE(LEFT(G22,2))*60+VALUE(MID(G22,4,2))+VALUE(RIGHT(G22,2))/60)-(VALUE(LEFT(I22,2))*60+VALUE(MID(I22,4,2))),0),IF(ISNUMBER(SEARCH("Salida",E22)),ROUND((VALUE(LEFT(G22,2))*60+VALUE(MID(G22,4,2))+VALUE(RIGHT(G22,2))/60)-(VALUE(LEFT(J22,2))*60+VALUE(MID(J22,4,2))),0),"")))</f>
        <v/>
      </c>
      <c r="L22">
        <f>IF(OR(D22="",E22="",G22=""),"",IF(ISNUMBER(SEARCH("Entrada",E22)),IF(K22&lt;=IFERROR(VLOOKUP(D22,Departamentos!$A$2:$D$100,4,FALSE),0),"A tiempo","Tarde"),IF(ISNUMBER(SEARCH("Salida",E22)),IF(K22&gt;=-IFERROR(VLOOKUP(D22,Departamentos!$A$2:$D$100,4,FALSE),0),"Cumple horario","Salida anticipada"),"No aplica")))</f>
        <v/>
      </c>
    </row>
    <row r="23">
      <c r="A23" t="n">
        <v>22</v>
      </c>
      <c r="B23" t="inlineStr">
        <is>
          <t>EMP-011</t>
        </is>
      </c>
      <c r="C23" t="inlineStr">
        <is>
          <t>Nuria Castro</t>
        </is>
      </c>
      <c r="D23" t="inlineStr">
        <is>
          <t>Reservas y Emisión</t>
        </is>
      </c>
      <c r="E23" t="inlineStr">
        <is>
          <t>Salida de Turno</t>
        </is>
      </c>
      <c r="F23" s="3" t="inlineStr">
        <is>
          <t>2026-10-11</t>
        </is>
      </c>
      <c r="G23" s="5" t="inlineStr">
        <is>
          <t>17:10:00</t>
        </is>
      </c>
      <c r="H23" t="inlineStr">
        <is>
          <t>Prueba: jornada histórica</t>
        </is>
      </c>
      <c r="I23" s="5" t="inlineStr">
        <is>
          <t>08:30</t>
        </is>
      </c>
      <c r="J23" s="5" t="inlineStr">
        <is>
          <t>17:00</t>
        </is>
      </c>
      <c r="K23">
        <f>IF(OR(D23="",E23="",G23=""),"",IF(ISNUMBER(SEARCH("Entrada",E23)),ROUND((VALUE(LEFT(G23,2))*60+VALUE(MID(G23,4,2))+VALUE(RIGHT(G23,2))/60)-(VALUE(LEFT(I23,2))*60+VALUE(MID(I23,4,2))),0),IF(ISNUMBER(SEARCH("Salida",E23)),ROUND((VALUE(LEFT(G23,2))*60+VALUE(MID(G23,4,2))+VALUE(RIGHT(G23,2))/60)-(VALUE(LEFT(J23,2))*60+VALUE(MID(J23,4,2))),0),"")))</f>
        <v/>
      </c>
      <c r="L23">
        <f>IF(OR(D23="",E23="",G23=""),"",IF(ISNUMBER(SEARCH("Entrada",E23)),IF(K23&lt;=IFERROR(VLOOKUP(D23,Departamentos!$A$2:$D$100,4,FALSE),0),"A tiempo","Tarde"),IF(ISNUMBER(SEARCH("Salida",E23)),IF(K23&gt;=-IFERROR(VLOOKUP(D23,Departamentos!$A$2:$D$100,4,FALSE),0),"Cumple horario","Salida anticipada"),"No aplica")))</f>
        <v/>
      </c>
    </row>
    <row r="24">
      <c r="A24" t="n">
        <v>23</v>
      </c>
      <c r="B24" t="inlineStr">
        <is>
          <t>EMP-012</t>
        </is>
      </c>
      <c r="C24" t="inlineStr">
        <is>
          <t>Marta Molina</t>
        </is>
      </c>
      <c r="D24" t="inlineStr">
        <is>
          <t>Operaciones</t>
        </is>
      </c>
      <c r="E24" t="inlineStr">
        <is>
          <t>Entrada a Turno</t>
        </is>
      </c>
      <c r="F24" s="3" t="inlineStr">
        <is>
          <t>2026-10-12</t>
        </is>
      </c>
      <c r="G24" s="5" t="inlineStr">
        <is>
          <t>08:05:00</t>
        </is>
      </c>
      <c r="H24" t="inlineStr">
        <is>
          <t>Prueba: jornada histórica</t>
        </is>
      </c>
      <c r="I24" s="5" t="inlineStr">
        <is>
          <t>08:00</t>
        </is>
      </c>
      <c r="J24" s="5" t="inlineStr">
        <is>
          <t>16:30</t>
        </is>
      </c>
      <c r="K24">
        <f>IF(OR(D24="",E24="",G24=""),"",IF(ISNUMBER(SEARCH("Entrada",E24)),ROUND((VALUE(LEFT(G24,2))*60+VALUE(MID(G24,4,2))+VALUE(RIGHT(G24,2))/60)-(VALUE(LEFT(I24,2))*60+VALUE(MID(I24,4,2))),0),IF(ISNUMBER(SEARCH("Salida",E24)),ROUND((VALUE(LEFT(G24,2))*60+VALUE(MID(G24,4,2))+VALUE(RIGHT(G24,2))/60)-(VALUE(LEFT(J24,2))*60+VALUE(MID(J24,4,2))),0),"")))</f>
        <v/>
      </c>
      <c r="L24">
        <f>IF(OR(D24="",E24="",G24=""),"",IF(ISNUMBER(SEARCH("Entrada",E24)),IF(K24&lt;=IFERROR(VLOOKUP(D24,Departamentos!$A$2:$D$100,4,FALSE),0),"A tiempo","Tarde"),IF(ISNUMBER(SEARCH("Salida",E24)),IF(K24&gt;=-IFERROR(VLOOKUP(D24,Departamentos!$A$2:$D$100,4,FALSE),0),"Cumple horario","Salida anticipada"),"No aplica")))</f>
        <v/>
      </c>
    </row>
    <row r="25">
      <c r="A25" t="n">
        <v>24</v>
      </c>
      <c r="B25" t="inlineStr">
        <is>
          <t>EMP-012</t>
        </is>
      </c>
      <c r="C25" t="inlineStr">
        <is>
          <t>Marta Molina</t>
        </is>
      </c>
      <c r="D25" t="inlineStr">
        <is>
          <t>Operaciones</t>
        </is>
      </c>
      <c r="E25" t="inlineStr">
        <is>
          <t>Salida de Turno</t>
        </is>
      </c>
      <c r="F25" s="3" t="inlineStr">
        <is>
          <t>2026-10-12</t>
        </is>
      </c>
      <c r="G25" s="5" t="inlineStr">
        <is>
          <t>16:25:00</t>
        </is>
      </c>
      <c r="H25" t="inlineStr">
        <is>
          <t>Prueba: jornada histórica</t>
        </is>
      </c>
      <c r="I25" s="5" t="inlineStr">
        <is>
          <t>08:00</t>
        </is>
      </c>
      <c r="J25" s="5" t="inlineStr">
        <is>
          <t>16:30</t>
        </is>
      </c>
      <c r="K25">
        <f>IF(OR(D25="",E25="",G25=""),"",IF(ISNUMBER(SEARCH("Entrada",E25)),ROUND((VALUE(LEFT(G25,2))*60+VALUE(MID(G25,4,2))+VALUE(RIGHT(G25,2))/60)-(VALUE(LEFT(I25,2))*60+VALUE(MID(I25,4,2))),0),IF(ISNUMBER(SEARCH("Salida",E25)),ROUND((VALUE(LEFT(G25,2))*60+VALUE(MID(G25,4,2))+VALUE(RIGHT(G25,2))/60)-(VALUE(LEFT(J25,2))*60+VALUE(MID(J25,4,2))),0),"")))</f>
        <v/>
      </c>
      <c r="L25">
        <f>IF(OR(D25="",E25="",G25=""),"",IF(ISNUMBER(SEARCH("Entrada",E25)),IF(K25&lt;=IFERROR(VLOOKUP(D25,Departamentos!$A$2:$D$100,4,FALSE),0),"A tiempo","Tarde"),IF(ISNUMBER(SEARCH("Salida",E25)),IF(K25&gt;=-IFERROR(VLOOKUP(D25,Departamentos!$A$2:$D$100,4,FALSE),0),"Cumple horario","Salida anticipada"),"No aplica")))</f>
        <v/>
      </c>
    </row>
    <row r="26">
      <c r="A26" t="n">
        <v>25</v>
      </c>
      <c r="B26" t="inlineStr">
        <is>
          <t>EMP-001</t>
        </is>
      </c>
      <c r="C26" t="inlineStr">
        <is>
          <t>Ana García</t>
        </is>
      </c>
      <c r="D26" t="inlineStr">
        <is>
          <t>Reservas y Emisión</t>
        </is>
      </c>
      <c r="E26" t="inlineStr">
        <is>
          <t>Entrada a Turno</t>
        </is>
      </c>
      <c r="F26" s="3" t="inlineStr">
        <is>
          <t>2026-10-13</t>
        </is>
      </c>
      <c r="G26" s="5" t="inlineStr">
        <is>
          <t>08:27:00</t>
        </is>
      </c>
      <c r="H26" t="inlineStr">
        <is>
          <t>Prueba: jornada histórica</t>
        </is>
      </c>
      <c r="I26" s="5" t="inlineStr">
        <is>
          <t>08:30</t>
        </is>
      </c>
      <c r="J26" s="5" t="inlineStr">
        <is>
          <t>17:00</t>
        </is>
      </c>
      <c r="K26">
        <f>IF(OR(D26="",E26="",G26=""),"",IF(ISNUMBER(SEARCH("Entrada",E26)),ROUND((VALUE(LEFT(G26,2))*60+VALUE(MID(G26,4,2))+VALUE(RIGHT(G26,2))/60)-(VALUE(LEFT(I26,2))*60+VALUE(MID(I26,4,2))),0),IF(ISNUMBER(SEARCH("Salida",E26)),ROUND((VALUE(LEFT(G26,2))*60+VALUE(MID(G26,4,2))+VALUE(RIGHT(G26,2))/60)-(VALUE(LEFT(J26,2))*60+VALUE(MID(J26,4,2))),0),"")))</f>
        <v/>
      </c>
      <c r="L26">
        <f>IF(OR(D26="",E26="",G26=""),"",IF(ISNUMBER(SEARCH("Entrada",E26)),IF(K26&lt;=IFERROR(VLOOKUP(D26,Departamentos!$A$2:$D$100,4,FALSE),0),"A tiempo","Tarde"),IF(ISNUMBER(SEARCH("Salida",E26)),IF(K26&gt;=-IFERROR(VLOOKUP(D26,Departamentos!$A$2:$D$100,4,FALSE),0),"Cumple horario","Salida anticipada"),"No aplica")))</f>
        <v/>
      </c>
    </row>
    <row r="27">
      <c r="A27" t="n">
        <v>26</v>
      </c>
      <c r="B27" t="inlineStr">
        <is>
          <t>EMP-001</t>
        </is>
      </c>
      <c r="C27" t="inlineStr">
        <is>
          <t>Ana García</t>
        </is>
      </c>
      <c r="D27" t="inlineStr">
        <is>
          <t>Reservas y Emisión</t>
        </is>
      </c>
      <c r="E27" t="inlineStr">
        <is>
          <t>Salida de Turno</t>
        </is>
      </c>
      <c r="F27" s="3" t="inlineStr">
        <is>
          <t>2026-10-13</t>
        </is>
      </c>
      <c r="G27" s="5" t="inlineStr">
        <is>
          <t>17:00:00</t>
        </is>
      </c>
      <c r="H27" t="inlineStr">
        <is>
          <t>Prueba: jornada histórica</t>
        </is>
      </c>
      <c r="I27" s="5" t="inlineStr">
        <is>
          <t>08:30</t>
        </is>
      </c>
      <c r="J27" s="5" t="inlineStr">
        <is>
          <t>17:00</t>
        </is>
      </c>
      <c r="K27">
        <f>IF(OR(D27="",E27="",G27=""),"",IF(ISNUMBER(SEARCH("Entrada",E27)),ROUND((VALUE(LEFT(G27,2))*60+VALUE(MID(G27,4,2))+VALUE(RIGHT(G27,2))/60)-(VALUE(LEFT(I27,2))*60+VALUE(MID(I27,4,2))),0),IF(ISNUMBER(SEARCH("Salida",E27)),ROUND((VALUE(LEFT(G27,2))*60+VALUE(MID(G27,4,2))+VALUE(RIGHT(G27,2))/60)-(VALUE(LEFT(J27,2))*60+VALUE(MID(J27,4,2))),0),"")))</f>
        <v/>
      </c>
      <c r="L27">
        <f>IF(OR(D27="",E27="",G27=""),"",IF(ISNUMBER(SEARCH("Entrada",E27)),IF(K27&lt;=IFERROR(VLOOKUP(D27,Departamentos!$A$2:$D$100,4,FALSE),0),"A tiempo","Tarde"),IF(ISNUMBER(SEARCH("Salida",E27)),IF(K27&gt;=-IFERROR(VLOOKUP(D27,Departamentos!$A$2:$D$100,4,FALSE),0),"Cumple horario","Salida anticipada"),"No aplica")))</f>
        <v/>
      </c>
    </row>
    <row r="28">
      <c r="A28" t="n">
        <v>27</v>
      </c>
      <c r="B28" t="inlineStr">
        <is>
          <t>EMP-002</t>
        </is>
      </c>
      <c r="C28" t="inlineStr">
        <is>
          <t>Carlos López</t>
        </is>
      </c>
      <c r="D28" t="inlineStr">
        <is>
          <t>Operaciones</t>
        </is>
      </c>
      <c r="E28" t="inlineStr">
        <is>
          <t>Entrada a Turno</t>
        </is>
      </c>
      <c r="F28" s="3" t="inlineStr">
        <is>
          <t>2026-10-15</t>
        </is>
      </c>
      <c r="G28" s="5" t="inlineStr">
        <is>
          <t>08:12:00</t>
        </is>
      </c>
      <c r="H28" t="inlineStr">
        <is>
          <t>Prueba: jornada histórica</t>
        </is>
      </c>
      <c r="I28" s="5" t="inlineStr">
        <is>
          <t>08:00</t>
        </is>
      </c>
      <c r="J28" s="5" t="inlineStr">
        <is>
          <t>16:30</t>
        </is>
      </c>
      <c r="K28">
        <f>IF(OR(D28="",E28="",G28=""),"",IF(ISNUMBER(SEARCH("Entrada",E28)),ROUND((VALUE(LEFT(G28,2))*60+VALUE(MID(G28,4,2))+VALUE(RIGHT(G28,2))/60)-(VALUE(LEFT(I28,2))*60+VALUE(MID(I28,4,2))),0),IF(ISNUMBER(SEARCH("Salida",E28)),ROUND((VALUE(LEFT(G28,2))*60+VALUE(MID(G28,4,2))+VALUE(RIGHT(G28,2))/60)-(VALUE(LEFT(J28,2))*60+VALUE(MID(J28,4,2))),0),"")))</f>
        <v/>
      </c>
      <c r="L28">
        <f>IF(OR(D28="",E28="",G28=""),"",IF(ISNUMBER(SEARCH("Entrada",E28)),IF(K28&lt;=IFERROR(VLOOKUP(D28,Departamentos!$A$2:$D$100,4,FALSE),0),"A tiempo","Tarde"),IF(ISNUMBER(SEARCH("Salida",E28)),IF(K28&gt;=-IFERROR(VLOOKUP(D28,Departamentos!$A$2:$D$100,4,FALSE),0),"Cumple horario","Salida anticipada"),"No aplica")))</f>
        <v/>
      </c>
    </row>
    <row r="29">
      <c r="A29" t="n">
        <v>28</v>
      </c>
      <c r="B29" t="inlineStr">
        <is>
          <t>EMP-002</t>
        </is>
      </c>
      <c r="C29" t="inlineStr">
        <is>
          <t>Carlos López</t>
        </is>
      </c>
      <c r="D29" t="inlineStr">
        <is>
          <t>Operaciones</t>
        </is>
      </c>
      <c r="E29" t="inlineStr">
        <is>
          <t>Salida de Turno</t>
        </is>
      </c>
      <c r="F29" s="3" t="inlineStr">
        <is>
          <t>2026-10-15</t>
        </is>
      </c>
      <c r="G29" s="5" t="inlineStr">
        <is>
          <t>16:40:00</t>
        </is>
      </c>
      <c r="H29" t="inlineStr">
        <is>
          <t>Prueba: jornada histórica</t>
        </is>
      </c>
      <c r="I29" s="5" t="inlineStr">
        <is>
          <t>08:00</t>
        </is>
      </c>
      <c r="J29" s="5" t="inlineStr">
        <is>
          <t>16:30</t>
        </is>
      </c>
      <c r="K29">
        <f>IF(OR(D29="",E29="",G29=""),"",IF(ISNUMBER(SEARCH("Entrada",E29)),ROUND((VALUE(LEFT(G29,2))*60+VALUE(MID(G29,4,2))+VALUE(RIGHT(G29,2))/60)-(VALUE(LEFT(I29,2))*60+VALUE(MID(I29,4,2))),0),IF(ISNUMBER(SEARCH("Salida",E29)),ROUND((VALUE(LEFT(G29,2))*60+VALUE(MID(G29,4,2))+VALUE(RIGHT(G29,2))/60)-(VALUE(LEFT(J29,2))*60+VALUE(MID(J29,4,2))),0),"")))</f>
        <v/>
      </c>
      <c r="L29">
        <f>IF(OR(D29="",E29="",G29=""),"",IF(ISNUMBER(SEARCH("Entrada",E29)),IF(K29&lt;=IFERROR(VLOOKUP(D29,Departamentos!$A$2:$D$100,4,FALSE),0),"A tiempo","Tarde"),IF(ISNUMBER(SEARCH("Salida",E29)),IF(K29&gt;=-IFERROR(VLOOKUP(D29,Departamentos!$A$2:$D$100,4,FALSE),0),"Cumple horario","Salida anticipada"),"No aplica")))</f>
        <v/>
      </c>
    </row>
    <row r="30">
      <c r="A30" t="n">
        <v>29</v>
      </c>
      <c r="B30" t="inlineStr">
        <is>
          <t>EMP-003</t>
        </is>
      </c>
      <c r="C30" t="inlineStr">
        <is>
          <t>Lucía Martín</t>
        </is>
      </c>
      <c r="D30" t="inlineStr">
        <is>
          <t>Recursos Humanos</t>
        </is>
      </c>
      <c r="E30" t="inlineStr">
        <is>
          <t>Entrada a Turno</t>
        </is>
      </c>
      <c r="F30" s="3" t="inlineStr">
        <is>
          <t>2026-10-16</t>
        </is>
      </c>
      <c r="G30" s="5" t="inlineStr">
        <is>
          <t>09:00:00</t>
        </is>
      </c>
      <c r="H30" t="inlineStr">
        <is>
          <t>Prueba: jornada histórica</t>
        </is>
      </c>
      <c r="I30" s="5" t="inlineStr">
        <is>
          <t>09:00</t>
        </is>
      </c>
      <c r="J30" s="5" t="inlineStr">
        <is>
          <t>13:00</t>
        </is>
      </c>
      <c r="K30">
        <f>IF(OR(D30="",E30="",G30=""),"",IF(ISNUMBER(SEARCH("Entrada",E30)),ROUND((VALUE(LEFT(G30,2))*60+VALUE(MID(G30,4,2))+VALUE(RIGHT(G30,2))/60)-(VALUE(LEFT(I30,2))*60+VALUE(MID(I30,4,2))),0),IF(ISNUMBER(SEARCH("Salida",E30)),ROUND((VALUE(LEFT(G30,2))*60+VALUE(MID(G30,4,2))+VALUE(RIGHT(G30,2))/60)-(VALUE(LEFT(J30,2))*60+VALUE(MID(J30,4,2))),0),"")))</f>
        <v/>
      </c>
      <c r="L30">
        <f>IF(OR(D30="",E30="",G30=""),"",IF(ISNUMBER(SEARCH("Entrada",E30)),IF(K30&lt;=IFERROR(VLOOKUP(D30,Departamentos!$A$2:$D$100,4,FALSE),0),"A tiempo","Tarde"),IF(ISNUMBER(SEARCH("Salida",E30)),IF(K30&gt;=-IFERROR(VLOOKUP(D30,Departamentos!$A$2:$D$100,4,FALSE),0),"Cumple horario","Salida anticipada"),"No aplica")))</f>
        <v/>
      </c>
    </row>
    <row r="31">
      <c r="A31" t="n">
        <v>30</v>
      </c>
      <c r="B31" t="inlineStr">
        <is>
          <t>EMP-003</t>
        </is>
      </c>
      <c r="C31" t="inlineStr">
        <is>
          <t>Lucía Martín</t>
        </is>
      </c>
      <c r="D31" t="inlineStr">
        <is>
          <t>Recursos Humanos</t>
        </is>
      </c>
      <c r="E31" t="inlineStr">
        <is>
          <t>Salida de Turno</t>
        </is>
      </c>
      <c r="F31" s="3" t="inlineStr">
        <is>
          <t>2026-10-16</t>
        </is>
      </c>
      <c r="G31" s="5" t="inlineStr">
        <is>
          <t>12:55:00</t>
        </is>
      </c>
      <c r="H31" t="inlineStr">
        <is>
          <t>Prueba: jornada histórica</t>
        </is>
      </c>
      <c r="I31" s="5" t="inlineStr">
        <is>
          <t>09:00</t>
        </is>
      </c>
      <c r="J31" s="5" t="inlineStr">
        <is>
          <t>13:00</t>
        </is>
      </c>
      <c r="K31">
        <f>IF(OR(D31="",E31="",G31=""),"",IF(ISNUMBER(SEARCH("Entrada",E31)),ROUND((VALUE(LEFT(G31,2))*60+VALUE(MID(G31,4,2))+VALUE(RIGHT(G31,2))/60)-(VALUE(LEFT(I31,2))*60+VALUE(MID(I31,4,2))),0),IF(ISNUMBER(SEARCH("Salida",E31)),ROUND((VALUE(LEFT(G31,2))*60+VALUE(MID(G31,4,2))+VALUE(RIGHT(G31,2))/60)-(VALUE(LEFT(J31,2))*60+VALUE(MID(J31,4,2))),0),"")))</f>
        <v/>
      </c>
      <c r="L31">
        <f>IF(OR(D31="",E31="",G31=""),"",IF(ISNUMBER(SEARCH("Entrada",E31)),IF(K31&lt;=IFERROR(VLOOKUP(D31,Departamentos!$A$2:$D$100,4,FALSE),0),"A tiempo","Tarde"),IF(ISNUMBER(SEARCH("Salida",E31)),IF(K31&gt;=-IFERROR(VLOOKUP(D31,Departamentos!$A$2:$D$100,4,FALSE),0),"Cumple horario","Salida anticipada"),"No aplica")))</f>
        <v/>
      </c>
    </row>
    <row r="32">
      <c r="A32" t="n">
        <v>31</v>
      </c>
      <c r="B32" t="inlineStr">
        <is>
          <t>EMP-004</t>
        </is>
      </c>
      <c r="C32" t="inlineStr">
        <is>
          <t>Pablo Torres</t>
        </is>
      </c>
      <c r="D32" t="inlineStr">
        <is>
          <t>Administración</t>
        </is>
      </c>
      <c r="E32" t="inlineStr">
        <is>
          <t>Entrada a Turno</t>
        </is>
      </c>
      <c r="F32" s="3" t="inlineStr">
        <is>
          <t>2026-10-17</t>
        </is>
      </c>
      <c r="G32" s="5" t="inlineStr">
        <is>
          <t>08:00:00</t>
        </is>
      </c>
      <c r="H32" t="inlineStr">
        <is>
          <t>Prueba: jornada histórica</t>
        </is>
      </c>
      <c r="I32" s="5" t="inlineStr">
        <is>
          <t>08:00</t>
        </is>
      </c>
      <c r="J32" s="5" t="inlineStr">
        <is>
          <t>16:00</t>
        </is>
      </c>
      <c r="K32">
        <f>IF(OR(D32="",E32="",G32=""),"",IF(ISNUMBER(SEARCH("Entrada",E32)),ROUND((VALUE(LEFT(G32,2))*60+VALUE(MID(G32,4,2))+VALUE(RIGHT(G32,2))/60)-(VALUE(LEFT(I32,2))*60+VALUE(MID(I32,4,2))),0),IF(ISNUMBER(SEARCH("Salida",E32)),ROUND((VALUE(LEFT(G32,2))*60+VALUE(MID(G32,4,2))+VALUE(RIGHT(G32,2))/60)-(VALUE(LEFT(J32,2))*60+VALUE(MID(J32,4,2))),0),"")))</f>
        <v/>
      </c>
      <c r="L32">
        <f>IF(OR(D32="",E32="",G32=""),"",IF(ISNUMBER(SEARCH("Entrada",E32)),IF(K32&lt;=IFERROR(VLOOKUP(D32,Departamentos!$A$2:$D$100,4,FALSE),0),"A tiempo","Tarde"),IF(ISNUMBER(SEARCH("Salida",E32)),IF(K32&gt;=-IFERROR(VLOOKUP(D32,Departamentos!$A$2:$D$100,4,FALSE),0),"Cumple horario","Salida anticipada"),"No aplica")))</f>
        <v/>
      </c>
    </row>
    <row r="33">
      <c r="A33" t="n">
        <v>32</v>
      </c>
      <c r="B33" t="inlineStr">
        <is>
          <t>EMP-004</t>
        </is>
      </c>
      <c r="C33" t="inlineStr">
        <is>
          <t>Pablo Torres</t>
        </is>
      </c>
      <c r="D33" t="inlineStr">
        <is>
          <t>Administración</t>
        </is>
      </c>
      <c r="E33" t="inlineStr">
        <is>
          <t>Salida de Turno</t>
        </is>
      </c>
      <c r="F33" s="3" t="inlineStr">
        <is>
          <t>2026-10-17</t>
        </is>
      </c>
      <c r="G33" s="5" t="inlineStr">
        <is>
          <t>16:00:00</t>
        </is>
      </c>
      <c r="H33" t="inlineStr">
        <is>
          <t>Prueba: jornada histórica</t>
        </is>
      </c>
      <c r="I33" s="5" t="inlineStr">
        <is>
          <t>08:00</t>
        </is>
      </c>
      <c r="J33" s="5" t="inlineStr">
        <is>
          <t>16:00</t>
        </is>
      </c>
      <c r="K33">
        <f>IF(OR(D33="",E33="",G33=""),"",IF(ISNUMBER(SEARCH("Entrada",E33)),ROUND((VALUE(LEFT(G33,2))*60+VALUE(MID(G33,4,2))+VALUE(RIGHT(G33,2))/60)-(VALUE(LEFT(I33,2))*60+VALUE(MID(I33,4,2))),0),IF(ISNUMBER(SEARCH("Salida",E33)),ROUND((VALUE(LEFT(G33,2))*60+VALUE(MID(G33,4,2))+VALUE(RIGHT(G33,2))/60)-(VALUE(LEFT(J33,2))*60+VALUE(MID(J33,4,2))),0),"")))</f>
        <v/>
      </c>
      <c r="L33">
        <f>IF(OR(D33="",E33="",G33=""),"",IF(ISNUMBER(SEARCH("Entrada",E33)),IF(K33&lt;=IFERROR(VLOOKUP(D33,Departamentos!$A$2:$D$100,4,FALSE),0),"A tiempo","Tarde"),IF(ISNUMBER(SEARCH("Salida",E33)),IF(K33&gt;=-IFERROR(VLOOKUP(D33,Departamentos!$A$2:$D$100,4,FALSE),0),"Cumple horario","Salida anticipada"),"No aplica")))</f>
        <v/>
      </c>
    </row>
    <row r="34">
      <c r="A34" t="n">
        <v>33</v>
      </c>
      <c r="B34" t="inlineStr">
        <is>
          <t>EMP-005</t>
        </is>
      </c>
      <c r="C34" t="inlineStr">
        <is>
          <t>Elena Ruiz</t>
        </is>
      </c>
      <c r="D34" t="inlineStr">
        <is>
          <t>Atención al Cliente</t>
        </is>
      </c>
      <c r="E34" t="inlineStr">
        <is>
          <t>Entrada a Turno</t>
        </is>
      </c>
      <c r="F34" s="3" t="inlineStr">
        <is>
          <t>2026-10-18</t>
        </is>
      </c>
      <c r="G34" s="5" t="inlineStr">
        <is>
          <t>09:35:00</t>
        </is>
      </c>
      <c r="H34" t="inlineStr">
        <is>
          <t>Prueba: jornada histórica</t>
        </is>
      </c>
      <c r="I34" s="5" t="inlineStr">
        <is>
          <t>09:30</t>
        </is>
      </c>
      <c r="J34" s="5" t="inlineStr">
        <is>
          <t>18:00</t>
        </is>
      </c>
      <c r="K34">
        <f>IF(OR(D34="",E34="",G34=""),"",IF(ISNUMBER(SEARCH("Entrada",E34)),ROUND((VALUE(LEFT(G34,2))*60+VALUE(MID(G34,4,2))+VALUE(RIGHT(G34,2))/60)-(VALUE(LEFT(I34,2))*60+VALUE(MID(I34,4,2))),0),IF(ISNUMBER(SEARCH("Salida",E34)),ROUND((VALUE(LEFT(G34,2))*60+VALUE(MID(G34,4,2))+VALUE(RIGHT(G34,2))/60)-(VALUE(LEFT(J34,2))*60+VALUE(MID(J34,4,2))),0),"")))</f>
        <v/>
      </c>
      <c r="L34">
        <f>IF(OR(D34="",E34="",G34=""),"",IF(ISNUMBER(SEARCH("Entrada",E34)),IF(K34&lt;=IFERROR(VLOOKUP(D34,Departamentos!$A$2:$D$100,4,FALSE),0),"A tiempo","Tarde"),IF(ISNUMBER(SEARCH("Salida",E34)),IF(K34&gt;=-IFERROR(VLOOKUP(D34,Departamentos!$A$2:$D$100,4,FALSE),0),"Cumple horario","Salida anticipada"),"No aplica")))</f>
        <v/>
      </c>
    </row>
    <row r="35">
      <c r="A35" t="n">
        <v>34</v>
      </c>
      <c r="B35" t="inlineStr">
        <is>
          <t>EMP-005</t>
        </is>
      </c>
      <c r="C35" t="inlineStr">
        <is>
          <t>Elena Ruiz</t>
        </is>
      </c>
      <c r="D35" t="inlineStr">
        <is>
          <t>Atención al Cliente</t>
        </is>
      </c>
      <c r="E35" t="inlineStr">
        <is>
          <t>Salida de Turno</t>
        </is>
      </c>
      <c r="F35" s="3" t="inlineStr">
        <is>
          <t>2026-10-18</t>
        </is>
      </c>
      <c r="G35" s="5" t="inlineStr">
        <is>
          <t>18:10:00</t>
        </is>
      </c>
      <c r="H35" t="inlineStr">
        <is>
          <t>Prueba: jornada histórica</t>
        </is>
      </c>
      <c r="I35" s="5" t="inlineStr">
        <is>
          <t>09:30</t>
        </is>
      </c>
      <c r="J35" s="5" t="inlineStr">
        <is>
          <t>18:00</t>
        </is>
      </c>
      <c r="K35">
        <f>IF(OR(D35="",E35="",G35=""),"",IF(ISNUMBER(SEARCH("Entrada",E35)),ROUND((VALUE(LEFT(G35,2))*60+VALUE(MID(G35,4,2))+VALUE(RIGHT(G35,2))/60)-(VALUE(LEFT(I35,2))*60+VALUE(MID(I35,4,2))),0),IF(ISNUMBER(SEARCH("Salida",E35)),ROUND((VALUE(LEFT(G35,2))*60+VALUE(MID(G35,4,2))+VALUE(RIGHT(G35,2))/60)-(VALUE(LEFT(J35,2))*60+VALUE(MID(J35,4,2))),0),"")))</f>
        <v/>
      </c>
      <c r="L35">
        <f>IF(OR(D35="",E35="",G35=""),"",IF(ISNUMBER(SEARCH("Entrada",E35)),IF(K35&lt;=IFERROR(VLOOKUP(D35,Departamentos!$A$2:$D$100,4,FALSE),0),"A tiempo","Tarde"),IF(ISNUMBER(SEARCH("Salida",E35)),IF(K35&gt;=-IFERROR(VLOOKUP(D35,Departamentos!$A$2:$D$100,4,FALSE),0),"Cumple horario","Salida anticipada"),"No aplica")))</f>
        <v/>
      </c>
    </row>
    <row r="36">
      <c r="A36" t="n">
        <v>35</v>
      </c>
      <c r="B36" t="inlineStr">
        <is>
          <t>EMP-006</t>
        </is>
      </c>
      <c r="C36" t="inlineStr">
        <is>
          <t>Diego Sánchez</t>
        </is>
      </c>
      <c r="D36" t="inlineStr">
        <is>
          <t>Reservas y Emisión</t>
        </is>
      </c>
      <c r="E36" t="inlineStr">
        <is>
          <t>Entrada a Turno</t>
        </is>
      </c>
      <c r="F36" s="3" t="inlineStr">
        <is>
          <t>2026-10-20</t>
        </is>
      </c>
      <c r="G36" s="5" t="inlineStr">
        <is>
          <t>08:27:00</t>
        </is>
      </c>
      <c r="H36" t="inlineStr">
        <is>
          <t>Prueba: jornada histórica</t>
        </is>
      </c>
      <c r="I36" s="5" t="inlineStr">
        <is>
          <t>08:30</t>
        </is>
      </c>
      <c r="J36" s="5" t="inlineStr">
        <is>
          <t>17:00</t>
        </is>
      </c>
      <c r="K36">
        <f>IF(OR(D36="",E36="",G36=""),"",IF(ISNUMBER(SEARCH("Entrada",E36)),ROUND((VALUE(LEFT(G36,2))*60+VALUE(MID(G36,4,2))+VALUE(RIGHT(G36,2))/60)-(VALUE(LEFT(I36,2))*60+VALUE(MID(I36,4,2))),0),IF(ISNUMBER(SEARCH("Salida",E36)),ROUND((VALUE(LEFT(G36,2))*60+VALUE(MID(G36,4,2))+VALUE(RIGHT(G36,2))/60)-(VALUE(LEFT(J36,2))*60+VALUE(MID(J36,4,2))),0),"")))</f>
        <v/>
      </c>
      <c r="L36">
        <f>IF(OR(D36="",E36="",G36=""),"",IF(ISNUMBER(SEARCH("Entrada",E36)),IF(K36&lt;=IFERROR(VLOOKUP(D36,Departamentos!$A$2:$D$100,4,FALSE),0),"A tiempo","Tarde"),IF(ISNUMBER(SEARCH("Salida",E36)),IF(K36&gt;=-IFERROR(VLOOKUP(D36,Departamentos!$A$2:$D$100,4,FALSE),0),"Cumple horario","Salida anticipada"),"No aplica")))</f>
        <v/>
      </c>
    </row>
    <row r="37">
      <c r="A37" t="n">
        <v>36</v>
      </c>
      <c r="B37" t="inlineStr">
        <is>
          <t>EMP-006</t>
        </is>
      </c>
      <c r="C37" t="inlineStr">
        <is>
          <t>Diego Sánchez</t>
        </is>
      </c>
      <c r="D37" t="inlineStr">
        <is>
          <t>Reservas y Emisión</t>
        </is>
      </c>
      <c r="E37" t="inlineStr">
        <is>
          <t>Salida de Turno</t>
        </is>
      </c>
      <c r="F37" s="3" t="inlineStr">
        <is>
          <t>2026-10-20</t>
        </is>
      </c>
      <c r="G37" s="5" t="inlineStr">
        <is>
          <t>16:55:00</t>
        </is>
      </c>
      <c r="H37" t="inlineStr">
        <is>
          <t>Prueba: jornada histórica</t>
        </is>
      </c>
      <c r="I37" s="5" t="inlineStr">
        <is>
          <t>08:30</t>
        </is>
      </c>
      <c r="J37" s="5" t="inlineStr">
        <is>
          <t>17:00</t>
        </is>
      </c>
      <c r="K37">
        <f>IF(OR(D37="",E37="",G37=""),"",IF(ISNUMBER(SEARCH("Entrada",E37)),ROUND((VALUE(LEFT(G37,2))*60+VALUE(MID(G37,4,2))+VALUE(RIGHT(G37,2))/60)-(VALUE(LEFT(I37,2))*60+VALUE(MID(I37,4,2))),0),IF(ISNUMBER(SEARCH("Salida",E37)),ROUND((VALUE(LEFT(G37,2))*60+VALUE(MID(G37,4,2))+VALUE(RIGHT(G37,2))/60)-(VALUE(LEFT(J37,2))*60+VALUE(MID(J37,4,2))),0),"")))</f>
        <v/>
      </c>
      <c r="L37">
        <f>IF(OR(D37="",E37="",G37=""),"",IF(ISNUMBER(SEARCH("Entrada",E37)),IF(K37&lt;=IFERROR(VLOOKUP(D37,Departamentos!$A$2:$D$100,4,FALSE),0),"A tiempo","Tarde"),IF(ISNUMBER(SEARCH("Salida",E37)),IF(K37&gt;=-IFERROR(VLOOKUP(D37,Departamentos!$A$2:$D$100,4,FALSE),0),"Cumple horario","Salida anticipada"),"No aplica")))</f>
        <v/>
      </c>
    </row>
    <row r="38">
      <c r="A38" t="n">
        <v>37</v>
      </c>
      <c r="B38" t="inlineStr">
        <is>
          <t>EMP-007</t>
        </is>
      </c>
      <c r="C38" t="inlineStr">
        <is>
          <t>Sofía Romero</t>
        </is>
      </c>
      <c r="D38" t="inlineStr">
        <is>
          <t>Operaciones</t>
        </is>
      </c>
      <c r="E38" t="inlineStr">
        <is>
          <t>Entrada a Turno</t>
        </is>
      </c>
      <c r="F38" s="3" t="inlineStr">
        <is>
          <t>2026-10-21</t>
        </is>
      </c>
      <c r="G38" s="5" t="inlineStr">
        <is>
          <t>08:12:00</t>
        </is>
      </c>
      <c r="H38" t="inlineStr">
        <is>
          <t>Prueba: jornada histórica</t>
        </is>
      </c>
      <c r="I38" s="5" t="inlineStr">
        <is>
          <t>08:00</t>
        </is>
      </c>
      <c r="J38" s="5" t="inlineStr">
        <is>
          <t>16:30</t>
        </is>
      </c>
      <c r="K38">
        <f>IF(OR(D38="",E38="",G38=""),"",IF(ISNUMBER(SEARCH("Entrada",E38)),ROUND((VALUE(LEFT(G38,2))*60+VALUE(MID(G38,4,2))+VALUE(RIGHT(G38,2))/60)-(VALUE(LEFT(I38,2))*60+VALUE(MID(I38,4,2))),0),IF(ISNUMBER(SEARCH("Salida",E38)),ROUND((VALUE(LEFT(G38,2))*60+VALUE(MID(G38,4,2))+VALUE(RIGHT(G38,2))/60)-(VALUE(LEFT(J38,2))*60+VALUE(MID(J38,4,2))),0),"")))</f>
        <v/>
      </c>
      <c r="L38">
        <f>IF(OR(D38="",E38="",G38=""),"",IF(ISNUMBER(SEARCH("Entrada",E38)),IF(K38&lt;=IFERROR(VLOOKUP(D38,Departamentos!$A$2:$D$100,4,FALSE),0),"A tiempo","Tarde"),IF(ISNUMBER(SEARCH("Salida",E38)),IF(K38&gt;=-IFERROR(VLOOKUP(D38,Departamentos!$A$2:$D$100,4,FALSE),0),"Cumple horario","Salida anticipada"),"No aplica")))</f>
        <v/>
      </c>
    </row>
    <row r="39">
      <c r="A39" t="n">
        <v>38</v>
      </c>
      <c r="B39" t="inlineStr">
        <is>
          <t>EMP-007</t>
        </is>
      </c>
      <c r="C39" t="inlineStr">
        <is>
          <t>Sofía Romero</t>
        </is>
      </c>
      <c r="D39" t="inlineStr">
        <is>
          <t>Operaciones</t>
        </is>
      </c>
      <c r="E39" t="inlineStr">
        <is>
          <t>Salida de Turno</t>
        </is>
      </c>
      <c r="F39" s="3" t="inlineStr">
        <is>
          <t>2026-10-21</t>
        </is>
      </c>
      <c r="G39" s="5" t="inlineStr">
        <is>
          <t>16:30:00</t>
        </is>
      </c>
      <c r="H39" t="inlineStr">
        <is>
          <t>Prueba: jornada histórica</t>
        </is>
      </c>
      <c r="I39" s="5" t="inlineStr">
        <is>
          <t>08:00</t>
        </is>
      </c>
      <c r="J39" s="5" t="inlineStr">
        <is>
          <t>16:30</t>
        </is>
      </c>
      <c r="K39">
        <f>IF(OR(D39="",E39="",G39=""),"",IF(ISNUMBER(SEARCH("Entrada",E39)),ROUND((VALUE(LEFT(G39,2))*60+VALUE(MID(G39,4,2))+VALUE(RIGHT(G39,2))/60)-(VALUE(LEFT(I39,2))*60+VALUE(MID(I39,4,2))),0),IF(ISNUMBER(SEARCH("Salida",E39)),ROUND((VALUE(LEFT(G39,2))*60+VALUE(MID(G39,4,2))+VALUE(RIGHT(G39,2))/60)-(VALUE(LEFT(J39,2))*60+VALUE(MID(J39,4,2))),0),"")))</f>
        <v/>
      </c>
      <c r="L39">
        <f>IF(OR(D39="",E39="",G39=""),"",IF(ISNUMBER(SEARCH("Entrada",E39)),IF(K39&lt;=IFERROR(VLOOKUP(D39,Departamentos!$A$2:$D$100,4,FALSE),0),"A tiempo","Tarde"),IF(ISNUMBER(SEARCH("Salida",E39)),IF(K39&gt;=-IFERROR(VLOOKUP(D39,Departamentos!$A$2:$D$100,4,FALSE),0),"Cumple horario","Salida anticipada"),"No aplica")))</f>
        <v/>
      </c>
    </row>
    <row r="40">
      <c r="A40" t="n">
        <v>39</v>
      </c>
      <c r="B40" t="inlineStr">
        <is>
          <t>EMP-008</t>
        </is>
      </c>
      <c r="C40" t="inlineStr">
        <is>
          <t>Javier Díaz</t>
        </is>
      </c>
      <c r="D40" t="inlineStr">
        <is>
          <t>Recursos Humanos</t>
        </is>
      </c>
      <c r="E40" t="inlineStr">
        <is>
          <t>Entrada a Turno</t>
        </is>
      </c>
      <c r="F40" s="3" t="inlineStr">
        <is>
          <t>2026-10-22</t>
        </is>
      </c>
      <c r="G40" s="5" t="inlineStr">
        <is>
          <t>09:00:00</t>
        </is>
      </c>
      <c r="H40" t="inlineStr">
        <is>
          <t>Prueba: jornada histórica</t>
        </is>
      </c>
      <c r="I40" s="5" t="inlineStr">
        <is>
          <t>09:00</t>
        </is>
      </c>
      <c r="J40" s="5" t="inlineStr">
        <is>
          <t>13:00</t>
        </is>
      </c>
      <c r="K40">
        <f>IF(OR(D40="",E40="",G40=""),"",IF(ISNUMBER(SEARCH("Entrada",E40)),ROUND((VALUE(LEFT(G40,2))*60+VALUE(MID(G40,4,2))+VALUE(RIGHT(G40,2))/60)-(VALUE(LEFT(I40,2))*60+VALUE(MID(I40,4,2))),0),IF(ISNUMBER(SEARCH("Salida",E40)),ROUND((VALUE(LEFT(G40,2))*60+VALUE(MID(G40,4,2))+VALUE(RIGHT(G40,2))/60)-(VALUE(LEFT(J40,2))*60+VALUE(MID(J40,4,2))),0),"")))</f>
        <v/>
      </c>
      <c r="L40">
        <f>IF(OR(D40="",E40="",G40=""),"",IF(ISNUMBER(SEARCH("Entrada",E40)),IF(K40&lt;=IFERROR(VLOOKUP(D40,Departamentos!$A$2:$D$100,4,FALSE),0),"A tiempo","Tarde"),IF(ISNUMBER(SEARCH("Salida",E40)),IF(K40&gt;=-IFERROR(VLOOKUP(D40,Departamentos!$A$2:$D$100,4,FALSE),0),"Cumple horario","Salida anticipada"),"No aplica")))</f>
        <v/>
      </c>
    </row>
    <row r="41">
      <c r="A41" t="n">
        <v>40</v>
      </c>
      <c r="B41" t="inlineStr">
        <is>
          <t>EMP-008</t>
        </is>
      </c>
      <c r="C41" t="inlineStr">
        <is>
          <t>Javier Díaz</t>
        </is>
      </c>
      <c r="D41" t="inlineStr">
        <is>
          <t>Recursos Humanos</t>
        </is>
      </c>
      <c r="E41" t="inlineStr">
        <is>
          <t>Salida de Turno</t>
        </is>
      </c>
      <c r="F41" s="3" t="inlineStr">
        <is>
          <t>2026-10-22</t>
        </is>
      </c>
      <c r="G41" s="5" t="inlineStr">
        <is>
          <t>13:10:00</t>
        </is>
      </c>
      <c r="H41" t="inlineStr">
        <is>
          <t>Prueba: jornada histórica</t>
        </is>
      </c>
      <c r="I41" s="5" t="inlineStr">
        <is>
          <t>09:00</t>
        </is>
      </c>
      <c r="J41" s="5" t="inlineStr">
        <is>
          <t>13:00</t>
        </is>
      </c>
      <c r="K41">
        <f>IF(OR(D41="",E41="",G41=""),"",IF(ISNUMBER(SEARCH("Entrada",E41)),ROUND((VALUE(LEFT(G41,2))*60+VALUE(MID(G41,4,2))+VALUE(RIGHT(G41,2))/60)-(VALUE(LEFT(I41,2))*60+VALUE(MID(I41,4,2))),0),IF(ISNUMBER(SEARCH("Salida",E41)),ROUND((VALUE(LEFT(G41,2))*60+VALUE(MID(G41,4,2))+VALUE(RIGHT(G41,2))/60)-(VALUE(LEFT(J41,2))*60+VALUE(MID(J41,4,2))),0),"")))</f>
        <v/>
      </c>
      <c r="L41">
        <f>IF(OR(D41="",E41="",G41=""),"",IF(ISNUMBER(SEARCH("Entrada",E41)),IF(K41&lt;=IFERROR(VLOOKUP(D41,Departamentos!$A$2:$D$100,4,FALSE),0),"A tiempo","Tarde"),IF(ISNUMBER(SEARCH("Salida",E41)),IF(K41&gt;=-IFERROR(VLOOKUP(D41,Departamentos!$A$2:$D$100,4,FALSE),0),"Cumple horario","Salida anticipada"),"No aplica")))</f>
        <v/>
      </c>
    </row>
    <row r="42">
      <c r="A42" t="n">
        <v>41</v>
      </c>
      <c r="B42" t="inlineStr">
        <is>
          <t>EMP-009</t>
        </is>
      </c>
      <c r="C42" t="inlineStr">
        <is>
          <t>Carmen Vega</t>
        </is>
      </c>
      <c r="D42" t="inlineStr">
        <is>
          <t>Administración</t>
        </is>
      </c>
      <c r="E42" t="inlineStr">
        <is>
          <t>Entrada a Turno</t>
        </is>
      </c>
      <c r="F42" s="3" t="inlineStr">
        <is>
          <t>2026-10-23</t>
        </is>
      </c>
      <c r="G42" s="5" t="inlineStr">
        <is>
          <t>08:00:00</t>
        </is>
      </c>
      <c r="H42" t="inlineStr">
        <is>
          <t>Prueba: jornada histórica</t>
        </is>
      </c>
      <c r="I42" s="5" t="inlineStr">
        <is>
          <t>08:00</t>
        </is>
      </c>
      <c r="J42" s="5" t="inlineStr">
        <is>
          <t>16:00</t>
        </is>
      </c>
      <c r="K42">
        <f>IF(OR(D42="",E42="",G42=""),"",IF(ISNUMBER(SEARCH("Entrada",E42)),ROUND((VALUE(LEFT(G42,2))*60+VALUE(MID(G42,4,2))+VALUE(RIGHT(G42,2))/60)-(VALUE(LEFT(I42,2))*60+VALUE(MID(I42,4,2))),0),IF(ISNUMBER(SEARCH("Salida",E42)),ROUND((VALUE(LEFT(G42,2))*60+VALUE(MID(G42,4,2))+VALUE(RIGHT(G42,2))/60)-(VALUE(LEFT(J42,2))*60+VALUE(MID(J42,4,2))),0),"")))</f>
        <v/>
      </c>
      <c r="L42">
        <f>IF(OR(D42="",E42="",G42=""),"",IF(ISNUMBER(SEARCH("Entrada",E42)),IF(K42&lt;=IFERROR(VLOOKUP(D42,Departamentos!$A$2:$D$100,4,FALSE),0),"A tiempo","Tarde"),IF(ISNUMBER(SEARCH("Salida",E42)),IF(K42&gt;=-IFERROR(VLOOKUP(D42,Departamentos!$A$2:$D$100,4,FALSE),0),"Cumple horario","Salida anticipada"),"No aplica")))</f>
        <v/>
      </c>
    </row>
    <row r="43">
      <c r="A43" t="n">
        <v>42</v>
      </c>
      <c r="B43" t="inlineStr">
        <is>
          <t>EMP-009</t>
        </is>
      </c>
      <c r="C43" t="inlineStr">
        <is>
          <t>Carmen Vega</t>
        </is>
      </c>
      <c r="D43" t="inlineStr">
        <is>
          <t>Administración</t>
        </is>
      </c>
      <c r="E43" t="inlineStr">
        <is>
          <t>Salida de Turno</t>
        </is>
      </c>
      <c r="F43" s="3" t="inlineStr">
        <is>
          <t>2026-10-23</t>
        </is>
      </c>
      <c r="G43" s="5" t="inlineStr">
        <is>
          <t>15:55:00</t>
        </is>
      </c>
      <c r="H43" t="inlineStr">
        <is>
          <t>Prueba: jornada histórica</t>
        </is>
      </c>
      <c r="I43" s="5" t="inlineStr">
        <is>
          <t>08:00</t>
        </is>
      </c>
      <c r="J43" s="5" t="inlineStr">
        <is>
          <t>16:00</t>
        </is>
      </c>
      <c r="K43">
        <f>IF(OR(D43="",E43="",G43=""),"",IF(ISNUMBER(SEARCH("Entrada",E43)),ROUND((VALUE(LEFT(G43,2))*60+VALUE(MID(G43,4,2))+VALUE(RIGHT(G43,2))/60)-(VALUE(LEFT(I43,2))*60+VALUE(MID(I43,4,2))),0),IF(ISNUMBER(SEARCH("Salida",E43)),ROUND((VALUE(LEFT(G43,2))*60+VALUE(MID(G43,4,2))+VALUE(RIGHT(G43,2))/60)-(VALUE(LEFT(J43,2))*60+VALUE(MID(J43,4,2))),0),"")))</f>
        <v/>
      </c>
      <c r="L43">
        <f>IF(OR(D43="",E43="",G43=""),"",IF(ISNUMBER(SEARCH("Entrada",E43)),IF(K43&lt;=IFERROR(VLOOKUP(D43,Departamentos!$A$2:$D$100,4,FALSE),0),"A tiempo","Tarde"),IF(ISNUMBER(SEARCH("Salida",E43)),IF(K43&gt;=-IFERROR(VLOOKUP(D43,Departamentos!$A$2:$D$100,4,FALSE),0),"Cumple horario","Salida anticipada"),"No aplica")))</f>
        <v/>
      </c>
    </row>
    <row r="44">
      <c r="A44" t="n">
        <v>43</v>
      </c>
      <c r="B44" t="inlineStr">
        <is>
          <t>EMP-010</t>
        </is>
      </c>
      <c r="C44" t="inlineStr">
        <is>
          <t>Andrés Pérez</t>
        </is>
      </c>
      <c r="D44" t="inlineStr">
        <is>
          <t>Atención al Cliente</t>
        </is>
      </c>
      <c r="E44" t="inlineStr">
        <is>
          <t>Entrada a Turno</t>
        </is>
      </c>
      <c r="F44" s="3" t="inlineStr">
        <is>
          <t>2026-10-24</t>
        </is>
      </c>
      <c r="G44" s="5" t="inlineStr">
        <is>
          <t>09:35:00</t>
        </is>
      </c>
      <c r="H44" t="inlineStr">
        <is>
          <t>Prueba: jornada histórica</t>
        </is>
      </c>
      <c r="I44" s="5" t="inlineStr">
        <is>
          <t>09:30</t>
        </is>
      </c>
      <c r="J44" s="5" t="inlineStr">
        <is>
          <t>18:00</t>
        </is>
      </c>
      <c r="K44">
        <f>IF(OR(D44="",E44="",G44=""),"",IF(ISNUMBER(SEARCH("Entrada",E44)),ROUND((VALUE(LEFT(G44,2))*60+VALUE(MID(G44,4,2))+VALUE(RIGHT(G44,2))/60)-(VALUE(LEFT(I44,2))*60+VALUE(MID(I44,4,2))),0),IF(ISNUMBER(SEARCH("Salida",E44)),ROUND((VALUE(LEFT(G44,2))*60+VALUE(MID(G44,4,2))+VALUE(RIGHT(G44,2))/60)-(VALUE(LEFT(J44,2))*60+VALUE(MID(J44,4,2))),0),"")))</f>
        <v/>
      </c>
      <c r="L44">
        <f>IF(OR(D44="",E44="",G44=""),"",IF(ISNUMBER(SEARCH("Entrada",E44)),IF(K44&lt;=IFERROR(VLOOKUP(D44,Departamentos!$A$2:$D$100,4,FALSE),0),"A tiempo","Tarde"),IF(ISNUMBER(SEARCH("Salida",E44)),IF(K44&gt;=-IFERROR(VLOOKUP(D44,Departamentos!$A$2:$D$100,4,FALSE),0),"Cumple horario","Salida anticipada"),"No aplica")))</f>
        <v/>
      </c>
    </row>
    <row r="45">
      <c r="A45" t="n">
        <v>44</v>
      </c>
      <c r="B45" t="inlineStr">
        <is>
          <t>EMP-010</t>
        </is>
      </c>
      <c r="C45" t="inlineStr">
        <is>
          <t>Andrés Pérez</t>
        </is>
      </c>
      <c r="D45" t="inlineStr">
        <is>
          <t>Atención al Cliente</t>
        </is>
      </c>
      <c r="E45" t="inlineStr">
        <is>
          <t>Salida de Turno</t>
        </is>
      </c>
      <c r="F45" s="3" t="inlineStr">
        <is>
          <t>2026-10-24</t>
        </is>
      </c>
      <c r="G45" s="5" t="inlineStr">
        <is>
          <t>18:00:00</t>
        </is>
      </c>
      <c r="H45" t="inlineStr">
        <is>
          <t>Prueba: jornada histórica</t>
        </is>
      </c>
      <c r="I45" s="5" t="inlineStr">
        <is>
          <t>09:30</t>
        </is>
      </c>
      <c r="J45" s="5" t="inlineStr">
        <is>
          <t>18:00</t>
        </is>
      </c>
      <c r="K45">
        <f>IF(OR(D45="",E45="",G45=""),"",IF(ISNUMBER(SEARCH("Entrada",E45)),ROUND((VALUE(LEFT(G45,2))*60+VALUE(MID(G45,4,2))+VALUE(RIGHT(G45,2))/60)-(VALUE(LEFT(I45,2))*60+VALUE(MID(I45,4,2))),0),IF(ISNUMBER(SEARCH("Salida",E45)),ROUND((VALUE(LEFT(G45,2))*60+VALUE(MID(G45,4,2))+VALUE(RIGHT(G45,2))/60)-(VALUE(LEFT(J45,2))*60+VALUE(MID(J45,4,2))),0),"")))</f>
        <v/>
      </c>
      <c r="L45">
        <f>IF(OR(D45="",E45="",G45=""),"",IF(ISNUMBER(SEARCH("Entrada",E45)),IF(K45&lt;=IFERROR(VLOOKUP(D45,Departamentos!$A$2:$D$100,4,FALSE),0),"A tiempo","Tarde"),IF(ISNUMBER(SEARCH("Salida",E45)),IF(K45&gt;=-IFERROR(VLOOKUP(D45,Departamentos!$A$2:$D$100,4,FALSE),0),"Cumple horario","Salida anticipada"),"No aplica")))</f>
        <v/>
      </c>
    </row>
    <row r="46">
      <c r="A46" t="n">
        <v>45</v>
      </c>
      <c r="B46" t="inlineStr">
        <is>
          <t>EMP-011</t>
        </is>
      </c>
      <c r="C46" t="inlineStr">
        <is>
          <t>Nuria Castro</t>
        </is>
      </c>
      <c r="D46" t="inlineStr">
        <is>
          <t>Reservas y Emisión</t>
        </is>
      </c>
      <c r="E46" t="inlineStr">
        <is>
          <t>Entrada a Turno</t>
        </is>
      </c>
      <c r="F46" s="3" t="inlineStr">
        <is>
          <t>2026-10-26</t>
        </is>
      </c>
      <c r="G46" s="5" t="inlineStr">
        <is>
          <t>08:27:00</t>
        </is>
      </c>
      <c r="H46" t="inlineStr">
        <is>
          <t>Prueba: jornada histórica</t>
        </is>
      </c>
      <c r="I46" s="5" t="inlineStr">
        <is>
          <t>08:30</t>
        </is>
      </c>
      <c r="J46" s="5" t="inlineStr">
        <is>
          <t>17:00</t>
        </is>
      </c>
      <c r="K46">
        <f>IF(OR(D46="",E46="",G46=""),"",IF(ISNUMBER(SEARCH("Entrada",E46)),ROUND((VALUE(LEFT(G46,2))*60+VALUE(MID(G46,4,2))+VALUE(RIGHT(G46,2))/60)-(VALUE(LEFT(I46,2))*60+VALUE(MID(I46,4,2))),0),IF(ISNUMBER(SEARCH("Salida",E46)),ROUND((VALUE(LEFT(G46,2))*60+VALUE(MID(G46,4,2))+VALUE(RIGHT(G46,2))/60)-(VALUE(LEFT(J46,2))*60+VALUE(MID(J46,4,2))),0),"")))</f>
        <v/>
      </c>
      <c r="L46">
        <f>IF(OR(D46="",E46="",G46=""),"",IF(ISNUMBER(SEARCH("Entrada",E46)),IF(K46&lt;=IFERROR(VLOOKUP(D46,Departamentos!$A$2:$D$100,4,FALSE),0),"A tiempo","Tarde"),IF(ISNUMBER(SEARCH("Salida",E46)),IF(K46&gt;=-IFERROR(VLOOKUP(D46,Departamentos!$A$2:$D$100,4,FALSE),0),"Cumple horario","Salida anticipada"),"No aplica")))</f>
        <v/>
      </c>
    </row>
    <row r="47">
      <c r="A47" t="n">
        <v>46</v>
      </c>
      <c r="B47" t="inlineStr">
        <is>
          <t>EMP-011</t>
        </is>
      </c>
      <c r="C47" t="inlineStr">
        <is>
          <t>Nuria Castro</t>
        </is>
      </c>
      <c r="D47" t="inlineStr">
        <is>
          <t>Reservas y Emisión</t>
        </is>
      </c>
      <c r="E47" t="inlineStr">
        <is>
          <t>Salida de Turno</t>
        </is>
      </c>
      <c r="F47" s="3" t="inlineStr">
        <is>
          <t>2026-10-26</t>
        </is>
      </c>
      <c r="G47" s="5" t="inlineStr">
        <is>
          <t>17:10:00</t>
        </is>
      </c>
      <c r="H47" t="inlineStr">
        <is>
          <t>Prueba: jornada histórica</t>
        </is>
      </c>
      <c r="I47" s="5" t="inlineStr">
        <is>
          <t>08:30</t>
        </is>
      </c>
      <c r="J47" s="5" t="inlineStr">
        <is>
          <t>17:00</t>
        </is>
      </c>
      <c r="K47">
        <f>IF(OR(D47="",E47="",G47=""),"",IF(ISNUMBER(SEARCH("Entrada",E47)),ROUND((VALUE(LEFT(G47,2))*60+VALUE(MID(G47,4,2))+VALUE(RIGHT(G47,2))/60)-(VALUE(LEFT(I47,2))*60+VALUE(MID(I47,4,2))),0),IF(ISNUMBER(SEARCH("Salida",E47)),ROUND((VALUE(LEFT(G47,2))*60+VALUE(MID(G47,4,2))+VALUE(RIGHT(G47,2))/60)-(VALUE(LEFT(J47,2))*60+VALUE(MID(J47,4,2))),0),"")))</f>
        <v/>
      </c>
      <c r="L47">
        <f>IF(OR(D47="",E47="",G47=""),"",IF(ISNUMBER(SEARCH("Entrada",E47)),IF(K47&lt;=IFERROR(VLOOKUP(D47,Departamentos!$A$2:$D$100,4,FALSE),0),"A tiempo","Tarde"),IF(ISNUMBER(SEARCH("Salida",E47)),IF(K47&gt;=-IFERROR(VLOOKUP(D47,Departamentos!$A$2:$D$100,4,FALSE),0),"Cumple horario","Salida anticipada"),"No aplica")))</f>
        <v/>
      </c>
    </row>
    <row r="48">
      <c r="A48" t="n">
        <v>47</v>
      </c>
      <c r="B48" t="inlineStr">
        <is>
          <t>EMP-012</t>
        </is>
      </c>
      <c r="C48" t="inlineStr">
        <is>
          <t>Marta Molina</t>
        </is>
      </c>
      <c r="D48" t="inlineStr">
        <is>
          <t>Operaciones</t>
        </is>
      </c>
      <c r="E48" t="inlineStr">
        <is>
          <t>Entrada a Turno</t>
        </is>
      </c>
      <c r="F48" s="3" t="inlineStr">
        <is>
          <t>2026-10-27</t>
        </is>
      </c>
      <c r="G48" s="5" t="inlineStr">
        <is>
          <t>08:12:00</t>
        </is>
      </c>
      <c r="H48" t="inlineStr">
        <is>
          <t>Prueba: jornada histórica</t>
        </is>
      </c>
      <c r="I48" s="5" t="inlineStr">
        <is>
          <t>08:00</t>
        </is>
      </c>
      <c r="J48" s="5" t="inlineStr">
        <is>
          <t>16:30</t>
        </is>
      </c>
      <c r="K48">
        <f>IF(OR(D48="",E48="",G48=""),"",IF(ISNUMBER(SEARCH("Entrada",E48)),ROUND((VALUE(LEFT(G48,2))*60+VALUE(MID(G48,4,2))+VALUE(RIGHT(G48,2))/60)-(VALUE(LEFT(I48,2))*60+VALUE(MID(I48,4,2))),0),IF(ISNUMBER(SEARCH("Salida",E48)),ROUND((VALUE(LEFT(G48,2))*60+VALUE(MID(G48,4,2))+VALUE(RIGHT(G48,2))/60)-(VALUE(LEFT(J48,2))*60+VALUE(MID(J48,4,2))),0),"")))</f>
        <v/>
      </c>
      <c r="L48">
        <f>IF(OR(D48="",E48="",G48=""),"",IF(ISNUMBER(SEARCH("Entrada",E48)),IF(K48&lt;=IFERROR(VLOOKUP(D48,Departamentos!$A$2:$D$100,4,FALSE),0),"A tiempo","Tarde"),IF(ISNUMBER(SEARCH("Salida",E48)),IF(K48&gt;=-IFERROR(VLOOKUP(D48,Departamentos!$A$2:$D$100,4,FALSE),0),"Cumple horario","Salida anticipada"),"No aplica")))</f>
        <v/>
      </c>
    </row>
    <row r="49">
      <c r="A49" t="n">
        <v>48</v>
      </c>
      <c r="B49" t="inlineStr">
        <is>
          <t>EMP-012</t>
        </is>
      </c>
      <c r="C49" t="inlineStr">
        <is>
          <t>Marta Molina</t>
        </is>
      </c>
      <c r="D49" t="inlineStr">
        <is>
          <t>Operaciones</t>
        </is>
      </c>
      <c r="E49" t="inlineStr">
        <is>
          <t>Salida de Turno</t>
        </is>
      </c>
      <c r="F49" s="3" t="inlineStr">
        <is>
          <t>2026-10-27</t>
        </is>
      </c>
      <c r="G49" s="5" t="inlineStr">
        <is>
          <t>16:25:00</t>
        </is>
      </c>
      <c r="H49" t="inlineStr">
        <is>
          <t>Prueba: jornada histórica</t>
        </is>
      </c>
      <c r="I49" s="5" t="inlineStr">
        <is>
          <t>08:00</t>
        </is>
      </c>
      <c r="J49" s="5" t="inlineStr">
        <is>
          <t>16:30</t>
        </is>
      </c>
      <c r="K49">
        <f>IF(OR(D49="",E49="",G49=""),"",IF(ISNUMBER(SEARCH("Entrada",E49)),ROUND((VALUE(LEFT(G49,2))*60+VALUE(MID(G49,4,2))+VALUE(RIGHT(G49,2))/60)-(VALUE(LEFT(I49,2))*60+VALUE(MID(I49,4,2))),0),IF(ISNUMBER(SEARCH("Salida",E49)),ROUND((VALUE(LEFT(G49,2))*60+VALUE(MID(G49,4,2))+VALUE(RIGHT(G49,2))/60)-(VALUE(LEFT(J49,2))*60+VALUE(MID(J49,4,2))),0),"")))</f>
        <v/>
      </c>
      <c r="L49">
        <f>IF(OR(D49="",E49="",G49=""),"",IF(ISNUMBER(SEARCH("Entrada",E49)),IF(K49&lt;=IFERROR(VLOOKUP(D49,Departamentos!$A$2:$D$100,4,FALSE),0),"A tiempo","Tarde"),IF(ISNUMBER(SEARCH("Salida",E49)),IF(K49&gt;=-IFERROR(VLOOKUP(D49,Departamentos!$A$2:$D$100,4,FALSE),0),"Cumple horario","Salida anticipada"),"No aplica")))</f>
        <v/>
      </c>
    </row>
    <row r="50">
      <c r="A50" t="n">
        <v>49</v>
      </c>
      <c r="B50" t="inlineStr">
        <is>
          <t>EMP-001</t>
        </is>
      </c>
      <c r="C50" t="inlineStr">
        <is>
          <t>Ana García</t>
        </is>
      </c>
      <c r="D50" t="inlineStr">
        <is>
          <t>Reservas y Emisión</t>
        </is>
      </c>
      <c r="E50" t="inlineStr">
        <is>
          <t>Entrada a Turno</t>
        </is>
      </c>
      <c r="F50" s="3" t="inlineStr">
        <is>
          <t>2026-10-28</t>
        </is>
      </c>
      <c r="G50" s="5" t="inlineStr">
        <is>
          <t>08:30:00</t>
        </is>
      </c>
      <c r="H50" t="inlineStr">
        <is>
          <t>Prueba: jornada histórica</t>
        </is>
      </c>
      <c r="I50" s="5" t="inlineStr">
        <is>
          <t>08:30</t>
        </is>
      </c>
      <c r="J50" s="5" t="inlineStr">
        <is>
          <t>17:00</t>
        </is>
      </c>
      <c r="K50">
        <f>IF(OR(D50="",E50="",G50=""),"",IF(ISNUMBER(SEARCH("Entrada",E50)),ROUND((VALUE(LEFT(G50,2))*60+VALUE(MID(G50,4,2))+VALUE(RIGHT(G50,2))/60)-(VALUE(LEFT(I50,2))*60+VALUE(MID(I50,4,2))),0),IF(ISNUMBER(SEARCH("Salida",E50)),ROUND((VALUE(LEFT(G50,2))*60+VALUE(MID(G50,4,2))+VALUE(RIGHT(G50,2))/60)-(VALUE(LEFT(J50,2))*60+VALUE(MID(J50,4,2))),0),"")))</f>
        <v/>
      </c>
      <c r="L50">
        <f>IF(OR(D50="",E50="",G50=""),"",IF(ISNUMBER(SEARCH("Entrada",E50)),IF(K50&lt;=IFERROR(VLOOKUP(D50,Departamentos!$A$2:$D$100,4,FALSE),0),"A tiempo","Tarde"),IF(ISNUMBER(SEARCH("Salida",E50)),IF(K50&gt;=-IFERROR(VLOOKUP(D50,Departamentos!$A$2:$D$100,4,FALSE),0),"Cumple horario","Salida anticipada"),"No aplica")))</f>
        <v/>
      </c>
    </row>
    <row r="51">
      <c r="A51" t="n">
        <v>50</v>
      </c>
      <c r="B51" t="inlineStr">
        <is>
          <t>EMP-001</t>
        </is>
      </c>
      <c r="C51" t="inlineStr">
        <is>
          <t>Ana García</t>
        </is>
      </c>
      <c r="D51" t="inlineStr">
        <is>
          <t>Reservas y Emisión</t>
        </is>
      </c>
      <c r="E51" t="inlineStr">
        <is>
          <t>Salida de Turno</t>
        </is>
      </c>
      <c r="F51" s="3" t="inlineStr">
        <is>
          <t>2026-10-28</t>
        </is>
      </c>
      <c r="G51" s="5" t="inlineStr">
        <is>
          <t>15:52:01</t>
        </is>
      </c>
      <c r="H51" t="inlineStr">
        <is>
          <t>Prueba: jornada histórica</t>
        </is>
      </c>
      <c r="I51" s="5" t="inlineStr">
        <is>
          <t>08:30</t>
        </is>
      </c>
      <c r="J51" s="5" t="inlineStr">
        <is>
          <t>17:00</t>
        </is>
      </c>
      <c r="K51">
        <f>IF(OR(D51="",E51="",G51=""),"",IF(ISNUMBER(SEARCH("Entrada",E51)),ROUND((VALUE(LEFT(G51,2))*60+VALUE(MID(G51,4,2))+VALUE(RIGHT(G51,2))/60)-(VALUE(LEFT(I51,2))*60+VALUE(MID(I51,4,2))),0),IF(ISNUMBER(SEARCH("Salida",E51)),ROUND((VALUE(LEFT(G51,2))*60+VALUE(MID(G51,4,2))+VALUE(RIGHT(G51,2))/60)-(VALUE(LEFT(J51,2))*60+VALUE(MID(J51,4,2))),0),"")))</f>
        <v/>
      </c>
      <c r="L51">
        <f>IF(OR(D51="",E51="",G51=""),"",IF(ISNUMBER(SEARCH("Entrada",E51)),IF(K51&lt;=IFERROR(VLOOKUP(D51,Departamentos!$A$2:$D$100,4,FALSE),0),"A tiempo","Tarde"),IF(ISNUMBER(SEARCH("Salida",E51)),IF(K51&gt;=-IFERROR(VLOOKUP(D51,Departamentos!$A$2:$D$100,4,FALSE),0),"Cumple horario","Salida anticipada"),"No aplica")))</f>
        <v/>
      </c>
    </row>
    <row r="52">
      <c r="A52" t="n">
        <v>51</v>
      </c>
      <c r="B52" t="inlineStr">
        <is>
          <t>EMP-013</t>
        </is>
      </c>
      <c r="C52" t="inlineStr">
        <is>
          <t>Laura Fernández</t>
        </is>
      </c>
      <c r="D52" t="inlineStr">
        <is>
          <t>Idiomas</t>
        </is>
      </c>
      <c r="E52" t="inlineStr">
        <is>
          <t>Entrada a Turno</t>
        </is>
      </c>
      <c r="F52" s="3" t="inlineStr">
        <is>
          <t>2026-10-29</t>
        </is>
      </c>
      <c r="G52" s="5" t="inlineStr">
        <is>
          <t>08:00:00</t>
        </is>
      </c>
      <c r="H52" t="inlineStr">
        <is>
          <t>Prueba inicial: presentación de mañana</t>
        </is>
      </c>
      <c r="I52" s="5" t="inlineStr">
        <is>
          <t>08:00</t>
        </is>
      </c>
      <c r="J52" s="5" t="inlineStr">
        <is>
          <t>13:00</t>
        </is>
      </c>
      <c r="K52">
        <f>IF(OR(D52="",E52="",G52=""),"",IF(ISNUMBER(SEARCH("Entrada",E52)),ROUND((VALUE(LEFT(G52,2))*60+VALUE(MID(G52,4,2))+VALUE(RIGHT(G52,2))/60)-(VALUE(LEFT(I52,2))*60+VALUE(MID(I52,4,2))),0),IF(ISNUMBER(SEARCH("Salida",E52)),ROUND((VALUE(LEFT(G52,2))*60+VALUE(MID(G52,4,2))+VALUE(RIGHT(G52,2))/60)-(VALUE(LEFT(J52,2))*60+VALUE(MID(J52,4,2))),0),"")))</f>
        <v/>
      </c>
      <c r="L52">
        <f>IF(OR(D52="",E52="",G52=""),"",IF(ISNUMBER(SEARCH("Entrada",E52)),IF(K52&lt;=IFERROR(VLOOKUP(D52,Departamentos!$A$2:$D$100,4,FALSE),0),"A tiempo","Tarde"),IF(ISNUMBER(SEARCH("Salida",E52)),IF(K52&gt;=-IFERROR(VLOOKUP(D52,Departamentos!$A$2:$D$100,4,FALSE),0),"Cumple horario","Salida anticipada"),"No aplica")))</f>
        <v/>
      </c>
    </row>
    <row r="53">
      <c r="A53" t="n">
        <v>52</v>
      </c>
      <c r="B53" t="inlineStr">
        <is>
          <t>EMP-014</t>
        </is>
      </c>
      <c r="C53" t="inlineStr">
        <is>
          <t>Miguel Santos</t>
        </is>
      </c>
      <c r="D53" t="inlineStr">
        <is>
          <t>Idiomas</t>
        </is>
      </c>
      <c r="E53" t="inlineStr">
        <is>
          <t>Entrada a Turno</t>
        </is>
      </c>
      <c r="F53" s="3" t="inlineStr">
        <is>
          <t>2026-10-29</t>
        </is>
      </c>
      <c r="G53" s="5" t="inlineStr">
        <is>
          <t>08:00:00</t>
        </is>
      </c>
      <c r="H53" t="inlineStr">
        <is>
          <t>Prueba inicial: presentación de mañana</t>
        </is>
      </c>
      <c r="I53" s="5" t="inlineStr">
        <is>
          <t>08:00</t>
        </is>
      </c>
      <c r="J53" s="5" t="inlineStr">
        <is>
          <t>13:00</t>
        </is>
      </c>
      <c r="K53">
        <f>IF(OR(D53="",E53="",G53=""),"",IF(ISNUMBER(SEARCH("Entrada",E53)),ROUND((VALUE(LEFT(G53,2))*60+VALUE(MID(G53,4,2))+VALUE(RIGHT(G53,2))/60)-(VALUE(LEFT(I53,2))*60+VALUE(MID(I53,4,2))),0),IF(ISNUMBER(SEARCH("Salida",E53)),ROUND((VALUE(LEFT(G53,2))*60+VALUE(MID(G53,4,2))+VALUE(RIGHT(G53,2))/60)-(VALUE(LEFT(J53,2))*60+VALUE(MID(J53,4,2))),0),"")))</f>
        <v/>
      </c>
      <c r="L53">
        <f>IF(OR(D53="",E53="",G53=""),"",IF(ISNUMBER(SEARCH("Entrada",E53)),IF(K53&lt;=IFERROR(VLOOKUP(D53,Departamentos!$A$2:$D$100,4,FALSE),0),"A tiempo","Tarde"),IF(ISNUMBER(SEARCH("Salida",E53)),IF(K53&gt;=-IFERROR(VLOOKUP(D53,Departamentos!$A$2:$D$100,4,FALSE),0),"Cumple horario","Salida anticipada"),"No aplica")))</f>
        <v/>
      </c>
    </row>
    <row r="54">
      <c r="A54" t="n">
        <v>53</v>
      </c>
      <c r="B54" t="inlineStr">
        <is>
          <t>EMP-015</t>
        </is>
      </c>
      <c r="C54" t="inlineStr">
        <is>
          <t>Paula Navarro</t>
        </is>
      </c>
      <c r="D54" t="inlineStr">
        <is>
          <t>Idiomas</t>
        </is>
      </c>
      <c r="E54" t="inlineStr">
        <is>
          <t>Entrada a Turno</t>
        </is>
      </c>
      <c r="F54" s="3" t="inlineStr">
        <is>
          <t>2026-10-29</t>
        </is>
      </c>
      <c r="G54" s="5" t="inlineStr">
        <is>
          <t>08:00:00</t>
        </is>
      </c>
      <c r="H54" t="inlineStr">
        <is>
          <t>Prueba inicial: presentación de mañana</t>
        </is>
      </c>
      <c r="I54" s="5" t="inlineStr">
        <is>
          <t>08:00</t>
        </is>
      </c>
      <c r="J54" s="5" t="inlineStr">
        <is>
          <t>13:00</t>
        </is>
      </c>
      <c r="K54">
        <f>IF(OR(D54="",E54="",G54=""),"",IF(ISNUMBER(SEARCH("Entrada",E54)),ROUND((VALUE(LEFT(G54,2))*60+VALUE(MID(G54,4,2))+VALUE(RIGHT(G54,2))/60)-(VALUE(LEFT(I54,2))*60+VALUE(MID(I54,4,2))),0),IF(ISNUMBER(SEARCH("Salida",E54)),ROUND((VALUE(LEFT(G54,2))*60+VALUE(MID(G54,4,2))+VALUE(RIGHT(G54,2))/60)-(VALUE(LEFT(J54,2))*60+VALUE(MID(J54,4,2))),0),"")))</f>
        <v/>
      </c>
      <c r="L54">
        <f>IF(OR(D54="",E54="",G54=""),"",IF(ISNUMBER(SEARCH("Entrada",E54)),IF(K54&lt;=IFERROR(VLOOKUP(D54,Departamentos!$A$2:$D$100,4,FALSE),0),"A tiempo","Tarde"),IF(ISNUMBER(SEARCH("Salida",E54)),IF(K54&gt;=-IFERROR(VLOOKUP(D54,Departamentos!$A$2:$D$100,4,FALSE),0),"Cumple horario","Salida anticipada"),"No aplica")))</f>
        <v/>
      </c>
    </row>
    <row r="55">
      <c r="A55" t="n">
        <v>54</v>
      </c>
      <c r="B55" t="inlineStr">
        <is>
          <t>EMP-016</t>
        </is>
      </c>
      <c r="C55" t="inlineStr">
        <is>
          <t>Daniel Ortega</t>
        </is>
      </c>
      <c r="D55" t="inlineStr">
        <is>
          <t>Idiomas</t>
        </is>
      </c>
      <c r="E55" t="inlineStr">
        <is>
          <t>Entrada a Turno</t>
        </is>
      </c>
      <c r="F55" s="3" t="inlineStr">
        <is>
          <t>2026-10-29</t>
        </is>
      </c>
      <c r="G55" s="5" t="inlineStr">
        <is>
          <t>08:00:00</t>
        </is>
      </c>
      <c r="H55" t="inlineStr">
        <is>
          <t>Prueba inicial: presentación de mañana</t>
        </is>
      </c>
      <c r="I55" s="5" t="inlineStr">
        <is>
          <t>08:00</t>
        </is>
      </c>
      <c r="J55" s="5" t="inlineStr">
        <is>
          <t>13:00</t>
        </is>
      </c>
      <c r="K55">
        <f>IF(OR(D55="",E55="",G55=""),"",IF(ISNUMBER(SEARCH("Entrada",E55)),ROUND((VALUE(LEFT(G55,2))*60+VALUE(MID(G55,4,2))+VALUE(RIGHT(G55,2))/60)-(VALUE(LEFT(I55,2))*60+VALUE(MID(I55,4,2))),0),IF(ISNUMBER(SEARCH("Salida",E55)),ROUND((VALUE(LEFT(G55,2))*60+VALUE(MID(G55,4,2))+VALUE(RIGHT(G55,2))/60)-(VALUE(LEFT(J55,2))*60+VALUE(MID(J55,4,2))),0),"")))</f>
        <v/>
      </c>
      <c r="L55">
        <f>IF(OR(D55="",E55="",G55=""),"",IF(ISNUMBER(SEARCH("Entrada",E55)),IF(K55&lt;=IFERROR(VLOOKUP(D55,Departamentos!$A$2:$D$100,4,FALSE),0),"A tiempo","Tarde"),IF(ISNUMBER(SEARCH("Salida",E55)),IF(K55&gt;=-IFERROR(VLOOKUP(D55,Departamentos!$A$2:$D$100,4,FALSE),0),"Cumple horario","Salida anticipada"),"No aplica")))</f>
        <v/>
      </c>
    </row>
    <row r="56">
      <c r="A56" t="n">
        <v>55</v>
      </c>
      <c r="B56" t="inlineStr">
        <is>
          <t>EMP-017</t>
        </is>
      </c>
      <c r="C56" t="inlineStr">
        <is>
          <t>Irene Vidal</t>
        </is>
      </c>
      <c r="D56" t="inlineStr">
        <is>
          <t>Idiomas</t>
        </is>
      </c>
      <c r="E56" t="inlineStr">
        <is>
          <t>Entrada a Turno</t>
        </is>
      </c>
      <c r="F56" s="3" t="inlineStr">
        <is>
          <t>2026-10-29</t>
        </is>
      </c>
      <c r="G56" s="5" t="inlineStr">
        <is>
          <t>08:00:00</t>
        </is>
      </c>
      <c r="H56" t="inlineStr">
        <is>
          <t>Prueba inicial: presentación de mañana</t>
        </is>
      </c>
      <c r="I56" s="5" t="inlineStr">
        <is>
          <t>08:00</t>
        </is>
      </c>
      <c r="J56" s="5" t="inlineStr">
        <is>
          <t>13:00</t>
        </is>
      </c>
      <c r="K56">
        <f>IF(OR(D56="",E56="",G56=""),"",IF(ISNUMBER(SEARCH("Entrada",E56)),ROUND((VALUE(LEFT(G56,2))*60+VALUE(MID(G56,4,2))+VALUE(RIGHT(G56,2))/60)-(VALUE(LEFT(I56,2))*60+VALUE(MID(I56,4,2))),0),IF(ISNUMBER(SEARCH("Salida",E56)),ROUND((VALUE(LEFT(G56,2))*60+VALUE(MID(G56,4,2))+VALUE(RIGHT(G56,2))/60)-(VALUE(LEFT(J56,2))*60+VALUE(MID(J56,4,2))),0),"")))</f>
        <v/>
      </c>
      <c r="L56">
        <f>IF(OR(D56="",E56="",G56=""),"",IF(ISNUMBER(SEARCH("Entrada",E56)),IF(K56&lt;=IFERROR(VLOOKUP(D56,Departamentos!$A$2:$D$100,4,FALSE),0),"A tiempo","Tarde"),IF(ISNUMBER(SEARCH("Salida",E56)),IF(K56&gt;=-IFERROR(VLOOKUP(D56,Departamentos!$A$2:$D$100,4,FALSE),0),"Cumple horario","Salida anticipada"),"No aplica")))</f>
        <v/>
      </c>
    </row>
    <row r="57">
      <c r="A57" t="n">
        <v>56</v>
      </c>
      <c r="B57" t="inlineStr">
        <is>
          <t>EMP-018</t>
        </is>
      </c>
      <c r="C57" t="inlineStr">
        <is>
          <t>Álvaro Gil</t>
        </is>
      </c>
      <c r="D57" t="inlineStr">
        <is>
          <t>Idiomas</t>
        </is>
      </c>
      <c r="E57" t="inlineStr">
        <is>
          <t>Entrada a Turno</t>
        </is>
      </c>
      <c r="F57" s="3" t="inlineStr">
        <is>
          <t>2026-10-29</t>
        </is>
      </c>
      <c r="G57" s="5" t="inlineStr">
        <is>
          <t>08:00:00</t>
        </is>
      </c>
      <c r="H57" t="inlineStr">
        <is>
          <t>Prueba inicial: presentación de mañana</t>
        </is>
      </c>
      <c r="I57" s="5" t="inlineStr">
        <is>
          <t>08:00</t>
        </is>
      </c>
      <c r="J57" s="5" t="inlineStr">
        <is>
          <t>13:00</t>
        </is>
      </c>
      <c r="K57">
        <f>IF(OR(D57="",E57="",G57=""),"",IF(ISNUMBER(SEARCH("Entrada",E57)),ROUND((VALUE(LEFT(G57,2))*60+VALUE(MID(G57,4,2))+VALUE(RIGHT(G57,2))/60)-(VALUE(LEFT(I57,2))*60+VALUE(MID(I57,4,2))),0),IF(ISNUMBER(SEARCH("Salida",E57)),ROUND((VALUE(LEFT(G57,2))*60+VALUE(MID(G57,4,2))+VALUE(RIGHT(G57,2))/60)-(VALUE(LEFT(J57,2))*60+VALUE(MID(J57,4,2))),0),"")))</f>
        <v/>
      </c>
      <c r="L57">
        <f>IF(OR(D57="",E57="",G57=""),"",IF(ISNUMBER(SEARCH("Entrada",E57)),IF(K57&lt;=IFERROR(VLOOKUP(D57,Departamentos!$A$2:$D$100,4,FALSE),0),"A tiempo","Tarde"),IF(ISNUMBER(SEARCH("Salida",E57)),IF(K57&gt;=-IFERROR(VLOOKUP(D57,Departamentos!$A$2:$D$100,4,FALSE),0),"Cumple horario","Salida anticipada"),"No aplica")))</f>
        <v/>
      </c>
    </row>
    <row r="58">
      <c r="A58" t="n">
        <v>57</v>
      </c>
      <c r="B58" t="inlineStr">
        <is>
          <t>EMP-019</t>
        </is>
      </c>
      <c r="C58" t="inlineStr">
        <is>
          <t>Clara León</t>
        </is>
      </c>
      <c r="D58" t="inlineStr">
        <is>
          <t>Idiomas</t>
        </is>
      </c>
      <c r="E58" t="inlineStr">
        <is>
          <t>Entrada a Turno</t>
        </is>
      </c>
      <c r="F58" s="3" t="inlineStr">
        <is>
          <t>2026-10-29</t>
        </is>
      </c>
      <c r="G58" s="5" t="inlineStr">
        <is>
          <t>08:00:00</t>
        </is>
      </c>
      <c r="H58" t="inlineStr">
        <is>
          <t>Prueba inicial: presentación de mañana</t>
        </is>
      </c>
      <c r="I58" s="5" t="inlineStr">
        <is>
          <t>08:00</t>
        </is>
      </c>
      <c r="J58" s="5" t="inlineStr">
        <is>
          <t>13:00</t>
        </is>
      </c>
      <c r="K58">
        <f>IF(OR(D58="",E58="",G58=""),"",IF(ISNUMBER(SEARCH("Entrada",E58)),ROUND((VALUE(LEFT(G58,2))*60+VALUE(MID(G58,4,2))+VALUE(RIGHT(G58,2))/60)-(VALUE(LEFT(I58,2))*60+VALUE(MID(I58,4,2))),0),IF(ISNUMBER(SEARCH("Salida",E58)),ROUND((VALUE(LEFT(G58,2))*60+VALUE(MID(G58,4,2))+VALUE(RIGHT(G58,2))/60)-(VALUE(LEFT(J58,2))*60+VALUE(MID(J58,4,2))),0),"")))</f>
        <v/>
      </c>
      <c r="L58">
        <f>IF(OR(D58="",E58="",G58=""),"",IF(ISNUMBER(SEARCH("Entrada",E58)),IF(K58&lt;=IFERROR(VLOOKUP(D58,Departamentos!$A$2:$D$100,4,FALSE),0),"A tiempo","Tarde"),IF(ISNUMBER(SEARCH("Salida",E58)),IF(K58&gt;=-IFERROR(VLOOKUP(D58,Departamentos!$A$2:$D$100,4,FALSE),0),"Cumple horario","Salida anticipada"),"No aplica")))</f>
        <v/>
      </c>
    </row>
    <row r="59">
      <c r="A59" t="n">
        <v>58</v>
      </c>
      <c r="B59" t="inlineStr">
        <is>
          <t>EMP-020</t>
        </is>
      </c>
      <c r="C59" t="inlineStr">
        <is>
          <t>Sergio Ramos</t>
        </is>
      </c>
      <c r="D59" t="inlineStr">
        <is>
          <t>Idiomas</t>
        </is>
      </c>
      <c r="E59" t="inlineStr">
        <is>
          <t>Entrada a Turno</t>
        </is>
      </c>
      <c r="F59" s="3" t="inlineStr">
        <is>
          <t>2026-10-29</t>
        </is>
      </c>
      <c r="G59" s="5" t="inlineStr">
        <is>
          <t>08:00:00</t>
        </is>
      </c>
      <c r="H59" t="inlineStr">
        <is>
          <t>Prueba inicial: presentación de mañana</t>
        </is>
      </c>
      <c r="I59" s="5" t="inlineStr">
        <is>
          <t>08:00</t>
        </is>
      </c>
      <c r="J59" s="5" t="inlineStr">
        <is>
          <t>13:00</t>
        </is>
      </c>
      <c r="K59">
        <f>IF(OR(D59="",E59="",G59=""),"",IF(ISNUMBER(SEARCH("Entrada",E59)),ROUND((VALUE(LEFT(G59,2))*60+VALUE(MID(G59,4,2))+VALUE(RIGHT(G59,2))/60)-(VALUE(LEFT(I59,2))*60+VALUE(MID(I59,4,2))),0),IF(ISNUMBER(SEARCH("Salida",E59)),ROUND((VALUE(LEFT(G59,2))*60+VALUE(MID(G59,4,2))+VALUE(RIGHT(G59,2))/60)-(VALUE(LEFT(J59,2))*60+VALUE(MID(J59,4,2))),0),"")))</f>
        <v/>
      </c>
      <c r="L59">
        <f>IF(OR(D59="",E59="",G59=""),"",IF(ISNUMBER(SEARCH("Entrada",E59)),IF(K59&lt;=IFERROR(VLOOKUP(D59,Departamentos!$A$2:$D$100,4,FALSE),0),"A tiempo","Tarde"),IF(ISNUMBER(SEARCH("Salida",E59)),IF(K59&gt;=-IFERROR(VLOOKUP(D59,Departamentos!$A$2:$D$100,4,FALSE),0),"Cumple horario","Salida anticipada"),"No aplica")))</f>
        <v/>
      </c>
    </row>
    <row r="60">
      <c r="A60" t="n">
        <v>59</v>
      </c>
      <c r="B60" t="inlineStr">
        <is>
          <t>EMP-021</t>
        </is>
      </c>
      <c r="C60" t="inlineStr">
        <is>
          <t>Eva Molina</t>
        </is>
      </c>
      <c r="D60" t="inlineStr">
        <is>
          <t>Idiomas</t>
        </is>
      </c>
      <c r="E60" t="inlineStr">
        <is>
          <t>Entrada a Turno</t>
        </is>
      </c>
      <c r="F60" s="3" t="inlineStr">
        <is>
          <t>2026-10-29</t>
        </is>
      </c>
      <c r="G60" s="5" t="inlineStr">
        <is>
          <t>08:00:00</t>
        </is>
      </c>
      <c r="H60" t="inlineStr">
        <is>
          <t>Prueba inicial: presentación de mañana</t>
        </is>
      </c>
      <c r="I60" s="5" t="inlineStr">
        <is>
          <t>08:00</t>
        </is>
      </c>
      <c r="J60" s="5" t="inlineStr">
        <is>
          <t>13:00</t>
        </is>
      </c>
      <c r="K60">
        <f>IF(OR(D60="",E60="",G60=""),"",IF(ISNUMBER(SEARCH("Entrada",E60)),ROUND((VALUE(LEFT(G60,2))*60+VALUE(MID(G60,4,2))+VALUE(RIGHT(G60,2))/60)-(VALUE(LEFT(I60,2))*60+VALUE(MID(I60,4,2))),0),IF(ISNUMBER(SEARCH("Salida",E60)),ROUND((VALUE(LEFT(G60,2))*60+VALUE(MID(G60,4,2))+VALUE(RIGHT(G60,2))/60)-(VALUE(LEFT(J60,2))*60+VALUE(MID(J60,4,2))),0),"")))</f>
        <v/>
      </c>
      <c r="L60">
        <f>IF(OR(D60="",E60="",G60=""),"",IF(ISNUMBER(SEARCH("Entrada",E60)),IF(K60&lt;=IFERROR(VLOOKUP(D60,Departamentos!$A$2:$D$100,4,FALSE),0),"A tiempo","Tarde"),IF(ISNUMBER(SEARCH("Salida",E60)),IF(K60&gt;=-IFERROR(VLOOKUP(D60,Departamentos!$A$2:$D$100,4,FALSE),0),"Cumple horario","Salida anticipada"),"No aplica")))</f>
        <v/>
      </c>
    </row>
    <row r="61">
      <c r="A61" t="n">
        <v>60</v>
      </c>
      <c r="B61" t="inlineStr">
        <is>
          <t>EMP-022</t>
        </is>
      </c>
      <c r="C61" t="inlineStr">
        <is>
          <t>Hugo Serrano</t>
        </is>
      </c>
      <c r="D61" t="inlineStr">
        <is>
          <t>Idiomas</t>
        </is>
      </c>
      <c r="E61" t="inlineStr">
        <is>
          <t>Entrada a Turno</t>
        </is>
      </c>
      <c r="F61" s="3" t="inlineStr">
        <is>
          <t>2026-10-29</t>
        </is>
      </c>
      <c r="G61" s="5" t="inlineStr">
        <is>
          <t>08:00:00</t>
        </is>
      </c>
      <c r="H61" t="inlineStr">
        <is>
          <t>Prueba inicial: presentación de mañana</t>
        </is>
      </c>
      <c r="I61" s="5" t="inlineStr">
        <is>
          <t>08:00</t>
        </is>
      </c>
      <c r="J61" s="5" t="inlineStr">
        <is>
          <t>13:00</t>
        </is>
      </c>
      <c r="K61">
        <f>IF(OR(D61="",E61="",G61=""),"",IF(ISNUMBER(SEARCH("Entrada",E61)),ROUND((VALUE(LEFT(G61,2))*60+VALUE(MID(G61,4,2))+VALUE(RIGHT(G61,2))/60)-(VALUE(LEFT(I61,2))*60+VALUE(MID(I61,4,2))),0),IF(ISNUMBER(SEARCH("Salida",E61)),ROUND((VALUE(LEFT(G61,2))*60+VALUE(MID(G61,4,2))+VALUE(RIGHT(G61,2))/60)-(VALUE(LEFT(J61,2))*60+VALUE(MID(J61,4,2))),0),"")))</f>
        <v/>
      </c>
      <c r="L61">
        <f>IF(OR(D61="",E61="",G61=""),"",IF(ISNUMBER(SEARCH("Entrada",E61)),IF(K61&lt;=IFERROR(VLOOKUP(D61,Departamentos!$A$2:$D$100,4,FALSE),0),"A tiempo","Tarde"),IF(ISNUMBER(SEARCH("Salida",E61)),IF(K61&gt;=-IFERROR(VLOOKUP(D61,Departamentos!$A$2:$D$100,4,FALSE),0),"Cumple horario","Salida anticipada"),"No aplica")))</f>
        <v/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F100"/>
  <sheetViews>
    <sheetView zoomScale="100" workbookViewId="0">
      <pane ySplit="1" topLeftCell="A2" activePane="bottomLeft" state="frozen"/>
      <selection activeCell="C4" activeCellId="0" sqref="C4"/>
    </sheetView>
  </sheetViews>
  <sheetFormatPr baseColWidth="8" defaultRowHeight="15"/>
  <cols>
    <col width="24" customWidth="1" style="1" min="1" max="1"/>
    <col width="14" customWidth="1" style="1" min="2" max="3"/>
    <col width="18" customWidth="1" style="1" min="4" max="4"/>
    <col width="26" customWidth="1" style="1" min="5" max="5"/>
    <col width="24" customWidth="1" style="1" min="6" max="6"/>
  </cols>
  <sheetData>
    <row r="1">
      <c r="A1" s="2" t="inlineStr">
        <is>
          <t>Departamento</t>
        </is>
      </c>
      <c r="B1" s="2" t="inlineStr">
        <is>
          <t>Hora entrada</t>
        </is>
      </c>
      <c r="C1" s="2" t="inlineStr">
        <is>
          <t>Hora salida</t>
        </is>
      </c>
      <c r="D1" s="2" t="inlineStr">
        <is>
          <t>Tolerancia (min)</t>
        </is>
      </c>
      <c r="E1" s="2" t="inlineStr">
        <is>
          <t>Inicio previsto descanso</t>
        </is>
      </c>
      <c r="F1" s="2" t="inlineStr">
        <is>
          <t>Fin previsto descanso</t>
        </is>
      </c>
    </row>
    <row r="2">
      <c r="A2" t="inlineStr">
        <is>
          <t>Reservas y Emisión</t>
        </is>
      </c>
      <c r="B2" s="5" t="inlineStr">
        <is>
          <t>08:30</t>
        </is>
      </c>
      <c r="C2" s="5" t="inlineStr">
        <is>
          <t>17:00</t>
        </is>
      </c>
      <c r="D2" t="n">
        <v>10</v>
      </c>
      <c r="E2" s="5" t="inlineStr">
        <is>
          <t>13:00</t>
        </is>
      </c>
      <c r="F2" s="5" t="inlineStr">
        <is>
          <t>13:30</t>
        </is>
      </c>
    </row>
    <row r="3">
      <c r="A3" t="inlineStr">
        <is>
          <t>Operaciones</t>
        </is>
      </c>
      <c r="B3" s="5" t="inlineStr">
        <is>
          <t>08:00</t>
        </is>
      </c>
      <c r="C3" s="5" t="inlineStr">
        <is>
          <t>16:30</t>
        </is>
      </c>
      <c r="D3" t="n">
        <v>10</v>
      </c>
      <c r="E3" s="5" t="inlineStr">
        <is>
          <t>12:00</t>
        </is>
      </c>
      <c r="F3" s="5" t="inlineStr">
        <is>
          <t>12:30</t>
        </is>
      </c>
    </row>
    <row r="4">
      <c r="A4" t="inlineStr">
        <is>
          <t>Recursos Humanos</t>
        </is>
      </c>
      <c r="B4" s="5" t="inlineStr">
        <is>
          <t>09:00</t>
        </is>
      </c>
      <c r="C4" s="5" t="inlineStr">
        <is>
          <t>13:00</t>
        </is>
      </c>
      <c r="D4" t="n">
        <v>10</v>
      </c>
      <c r="E4" s="5" t="inlineStr">
        <is>
          <t>11:00</t>
        </is>
      </c>
      <c r="F4" s="5" t="inlineStr">
        <is>
          <t>11:15</t>
        </is>
      </c>
    </row>
    <row r="5">
      <c r="A5" t="inlineStr">
        <is>
          <t>Administración</t>
        </is>
      </c>
      <c r="B5" s="5" t="inlineStr">
        <is>
          <t>08:00</t>
        </is>
      </c>
      <c r="C5" s="5" t="inlineStr">
        <is>
          <t>16:00</t>
        </is>
      </c>
      <c r="D5" t="n">
        <v>10</v>
      </c>
      <c r="E5" s="5" t="inlineStr">
        <is>
          <t>12:00</t>
        </is>
      </c>
      <c r="F5" s="5" t="inlineStr">
        <is>
          <t>12:30</t>
        </is>
      </c>
    </row>
    <row r="6">
      <c r="A6" t="inlineStr">
        <is>
          <t>Atención al Cliente</t>
        </is>
      </c>
      <c r="B6" s="5" t="inlineStr">
        <is>
          <t>09:30</t>
        </is>
      </c>
      <c r="C6" s="5" t="inlineStr">
        <is>
          <t>18:00</t>
        </is>
      </c>
      <c r="D6" t="n">
        <v>10</v>
      </c>
      <c r="E6" s="5" t="inlineStr">
        <is>
          <t>14:00</t>
        </is>
      </c>
      <c r="F6" s="5" t="inlineStr">
        <is>
          <t>14:30</t>
        </is>
      </c>
    </row>
    <row r="7">
      <c r="A7" t="inlineStr">
        <is>
          <t>the corner</t>
        </is>
      </c>
      <c r="B7" s="5" t="inlineStr">
        <is>
          <t>09:00</t>
        </is>
      </c>
      <c r="C7" s="5" t="inlineStr">
        <is>
          <t>20:00</t>
        </is>
      </c>
      <c r="D7" t="n">
        <v>30</v>
      </c>
      <c r="E7" s="5" t="inlineStr">
        <is>
          <t>14:00</t>
        </is>
      </c>
      <c r="F7" s="5" t="inlineStr">
        <is>
          <t>14:30</t>
        </is>
      </c>
    </row>
    <row r="8">
      <c r="A8" t="inlineStr">
        <is>
          <t>Idiomas</t>
        </is>
      </c>
      <c r="B8" s="5" t="inlineStr">
        <is>
          <t>08:00</t>
        </is>
      </c>
      <c r="C8" s="5" t="inlineStr">
        <is>
          <t>13:00</t>
        </is>
      </c>
      <c r="D8" t="n">
        <v>10</v>
      </c>
      <c r="E8" s="5" t="inlineStr">
        <is>
          <t>10:30</t>
        </is>
      </c>
      <c r="F8" s="5" t="inlineStr">
        <is>
          <t>10:45</t>
        </is>
      </c>
    </row>
    <row r="9">
      <c r="B9" s="5" t="n"/>
      <c r="C9" s="5" t="n"/>
    </row>
    <row r="10">
      <c r="B10" s="5" t="n"/>
      <c r="C10" s="5" t="n"/>
    </row>
    <row r="11">
      <c r="B11" s="5" t="n"/>
      <c r="C11" s="5" t="n"/>
    </row>
    <row r="12">
      <c r="B12" s="5" t="n"/>
      <c r="C12" s="5" t="n"/>
    </row>
    <row r="13">
      <c r="B13" s="5" t="n"/>
      <c r="C13" s="5" t="n"/>
    </row>
    <row r="14">
      <c r="B14" s="5" t="n"/>
      <c r="C14" s="5" t="n"/>
    </row>
    <row r="15">
      <c r="B15" s="5" t="n"/>
      <c r="C15" s="5" t="n"/>
    </row>
    <row r="16">
      <c r="B16" s="5" t="n"/>
      <c r="C16" s="5" t="n"/>
    </row>
    <row r="17">
      <c r="B17" s="5" t="n"/>
      <c r="C17" s="5" t="n"/>
    </row>
    <row r="18">
      <c r="B18" s="5" t="n"/>
      <c r="C18" s="5" t="n"/>
    </row>
    <row r="19">
      <c r="B19" s="5" t="n"/>
      <c r="C19" s="5" t="n"/>
    </row>
    <row r="20">
      <c r="B20" s="5" t="n"/>
      <c r="C20" s="5" t="n"/>
    </row>
    <row r="21">
      <c r="B21" s="5" t="n"/>
      <c r="C21" s="5" t="n"/>
    </row>
    <row r="22">
      <c r="B22" s="5" t="n"/>
      <c r="C22" s="5" t="n"/>
    </row>
    <row r="23">
      <c r="B23" s="5" t="n"/>
      <c r="C23" s="5" t="n"/>
    </row>
    <row r="24">
      <c r="B24" s="5" t="n"/>
      <c r="C24" s="5" t="n"/>
    </row>
    <row r="25">
      <c r="B25" s="5" t="n"/>
      <c r="C25" s="5" t="n"/>
    </row>
    <row r="26">
      <c r="B26" s="5" t="n"/>
      <c r="C26" s="5" t="n"/>
    </row>
    <row r="27">
      <c r="B27" s="5" t="n"/>
      <c r="C27" s="5" t="n"/>
    </row>
    <row r="28">
      <c r="B28" s="5" t="n"/>
      <c r="C28" s="5" t="n"/>
    </row>
    <row r="29">
      <c r="B29" s="5" t="n"/>
      <c r="C29" s="5" t="n"/>
    </row>
    <row r="30">
      <c r="B30" s="5" t="n"/>
      <c r="C30" s="5" t="n"/>
    </row>
    <row r="31">
      <c r="B31" s="5" t="n"/>
      <c r="C31" s="5" t="n"/>
    </row>
    <row r="32">
      <c r="B32" s="5" t="n"/>
      <c r="C32" s="5" t="n"/>
    </row>
    <row r="33">
      <c r="B33" s="5" t="n"/>
      <c r="C33" s="5" t="n"/>
    </row>
    <row r="34">
      <c r="B34" s="5" t="n"/>
      <c r="C34" s="5" t="n"/>
    </row>
    <row r="35">
      <c r="B35" s="5" t="n"/>
      <c r="C35" s="5" t="n"/>
    </row>
    <row r="36">
      <c r="B36" s="5" t="n"/>
      <c r="C36" s="5" t="n"/>
    </row>
    <row r="37">
      <c r="B37" s="5" t="n"/>
      <c r="C37" s="5" t="n"/>
    </row>
    <row r="38">
      <c r="B38" s="5" t="n"/>
      <c r="C38" s="5" t="n"/>
    </row>
    <row r="39">
      <c r="B39" s="5" t="n"/>
      <c r="C39" s="5" t="n"/>
    </row>
    <row r="40">
      <c r="B40" s="5" t="n"/>
      <c r="C40" s="5" t="n"/>
    </row>
    <row r="41">
      <c r="B41" s="5" t="n"/>
      <c r="C41" s="5" t="n"/>
    </row>
    <row r="42">
      <c r="B42" s="5" t="n"/>
      <c r="C42" s="5" t="n"/>
    </row>
    <row r="43">
      <c r="B43" s="5" t="n"/>
      <c r="C43" s="5" t="n"/>
    </row>
    <row r="44">
      <c r="B44" s="5" t="n"/>
      <c r="C44" s="5" t="n"/>
    </row>
    <row r="45">
      <c r="B45" s="5" t="n"/>
      <c r="C45" s="5" t="n"/>
    </row>
    <row r="46">
      <c r="B46" s="5" t="n"/>
      <c r="C46" s="5" t="n"/>
    </row>
    <row r="47">
      <c r="B47" s="5" t="n"/>
      <c r="C47" s="5" t="n"/>
    </row>
    <row r="48">
      <c r="B48" s="5" t="n"/>
      <c r="C48" s="5" t="n"/>
    </row>
    <row r="49">
      <c r="B49" s="5" t="n"/>
      <c r="C49" s="5" t="n"/>
    </row>
    <row r="50">
      <c r="B50" s="5" t="n"/>
      <c r="C50" s="5" t="n"/>
    </row>
    <row r="51">
      <c r="B51" s="5" t="n"/>
      <c r="C51" s="5" t="n"/>
    </row>
    <row r="52">
      <c r="B52" s="5" t="n"/>
      <c r="C52" s="5" t="n"/>
    </row>
    <row r="53">
      <c r="B53" s="5" t="n"/>
      <c r="C53" s="5" t="n"/>
    </row>
    <row r="54">
      <c r="B54" s="5" t="n"/>
      <c r="C54" s="5" t="n"/>
    </row>
    <row r="55">
      <c r="B55" s="5" t="n"/>
      <c r="C55" s="5" t="n"/>
    </row>
    <row r="56">
      <c r="B56" s="5" t="n"/>
      <c r="C56" s="5" t="n"/>
    </row>
    <row r="57">
      <c r="B57" s="5" t="n"/>
      <c r="C57" s="5" t="n"/>
    </row>
    <row r="58">
      <c r="B58" s="5" t="n"/>
      <c r="C58" s="5" t="n"/>
    </row>
    <row r="59">
      <c r="B59" s="5" t="n"/>
      <c r="C59" s="5" t="n"/>
    </row>
    <row r="60">
      <c r="B60" s="5" t="n"/>
      <c r="C60" s="5" t="n"/>
    </row>
    <row r="61">
      <c r="B61" s="5" t="n"/>
      <c r="C61" s="5" t="n"/>
    </row>
    <row r="62">
      <c r="B62" s="5" t="n"/>
      <c r="C62" s="5" t="n"/>
    </row>
    <row r="63">
      <c r="B63" s="5" t="n"/>
      <c r="C63" s="5" t="n"/>
    </row>
    <row r="64">
      <c r="B64" s="5" t="n"/>
      <c r="C64" s="5" t="n"/>
    </row>
    <row r="65">
      <c r="B65" s="5" t="n"/>
      <c r="C65" s="5" t="n"/>
    </row>
    <row r="66">
      <c r="B66" s="5" t="n"/>
      <c r="C66" s="5" t="n"/>
    </row>
    <row r="67">
      <c r="B67" s="5" t="n"/>
      <c r="C67" s="5" t="n"/>
    </row>
    <row r="68">
      <c r="B68" s="5" t="n"/>
      <c r="C68" s="5" t="n"/>
    </row>
    <row r="69">
      <c r="B69" s="5" t="n"/>
      <c r="C69" s="5" t="n"/>
    </row>
    <row r="70">
      <c r="B70" s="5" t="n"/>
      <c r="C70" s="5" t="n"/>
    </row>
    <row r="71">
      <c r="B71" s="5" t="n"/>
      <c r="C71" s="5" t="n"/>
    </row>
    <row r="72">
      <c r="B72" s="5" t="n"/>
      <c r="C72" s="5" t="n"/>
    </row>
    <row r="73">
      <c r="B73" s="5" t="n"/>
      <c r="C73" s="5" t="n"/>
    </row>
    <row r="74">
      <c r="B74" s="5" t="n"/>
      <c r="C74" s="5" t="n"/>
    </row>
    <row r="75">
      <c r="B75" s="5" t="n"/>
      <c r="C75" s="5" t="n"/>
    </row>
    <row r="76">
      <c r="B76" s="5" t="n"/>
      <c r="C76" s="5" t="n"/>
    </row>
    <row r="77">
      <c r="B77" s="5" t="n"/>
      <c r="C77" s="5" t="n"/>
    </row>
    <row r="78">
      <c r="B78" s="5" t="n"/>
      <c r="C78" s="5" t="n"/>
    </row>
    <row r="79">
      <c r="B79" s="5" t="n"/>
      <c r="C79" s="5" t="n"/>
    </row>
    <row r="80">
      <c r="B80" s="5" t="n"/>
      <c r="C80" s="5" t="n"/>
    </row>
    <row r="81">
      <c r="B81" s="5" t="n"/>
      <c r="C81" s="5" t="n"/>
    </row>
    <row r="82">
      <c r="B82" s="5" t="n"/>
      <c r="C82" s="5" t="n"/>
    </row>
    <row r="83">
      <c r="B83" s="5" t="n"/>
      <c r="C83" s="5" t="n"/>
    </row>
    <row r="84">
      <c r="B84" s="5" t="n"/>
      <c r="C84" s="5" t="n"/>
    </row>
    <row r="85">
      <c r="B85" s="5" t="n"/>
      <c r="C85" s="5" t="n"/>
    </row>
    <row r="86">
      <c r="B86" s="5" t="n"/>
      <c r="C86" s="5" t="n"/>
    </row>
    <row r="87">
      <c r="B87" s="5" t="n"/>
      <c r="C87" s="5" t="n"/>
    </row>
    <row r="88">
      <c r="B88" s="5" t="n"/>
      <c r="C88" s="5" t="n"/>
    </row>
    <row r="89">
      <c r="B89" s="5" t="n"/>
      <c r="C89" s="5" t="n"/>
    </row>
    <row r="90">
      <c r="B90" s="5" t="n"/>
      <c r="C90" s="5" t="n"/>
    </row>
    <row r="91">
      <c r="B91" s="5" t="n"/>
      <c r="C91" s="5" t="n"/>
    </row>
    <row r="92">
      <c r="B92" s="5" t="n"/>
      <c r="C92" s="5" t="n"/>
    </row>
    <row r="93">
      <c r="B93" s="5" t="n"/>
      <c r="C93" s="5" t="n"/>
    </row>
    <row r="94">
      <c r="B94" s="5" t="n"/>
      <c r="C94" s="5" t="n"/>
    </row>
    <row r="95">
      <c r="B95" s="5" t="n"/>
      <c r="C95" s="5" t="n"/>
    </row>
    <row r="96">
      <c r="B96" s="5" t="n"/>
      <c r="C96" s="5" t="n"/>
    </row>
    <row r="97">
      <c r="B97" s="5" t="n"/>
      <c r="C97" s="5" t="n"/>
    </row>
    <row r="98">
      <c r="B98" s="5" t="n"/>
      <c r="C98" s="5" t="n"/>
    </row>
    <row r="99">
      <c r="B99" s="5" t="n"/>
      <c r="C99" s="5" t="n"/>
    </row>
    <row r="100">
      <c r="B100" s="5" t="n"/>
      <c r="C100" s="5" t="n"/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2026-10-28T13:18:46Z</dcterms:created>
  <dcterms:modified xsi:type="dcterms:W3CDTF">2026-10-29T03:31:12Z</dcterms:modified>
  <cp:revision>1</cp:revision>
</cp:coreProperties>
</file>